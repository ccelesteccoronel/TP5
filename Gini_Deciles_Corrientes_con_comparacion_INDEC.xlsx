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odologia" sheetId="1" state="visible" r:id="rId3"/>
    <sheet name="Resumen" sheetId="2" state="visible" r:id="rId4"/>
    <sheet name="Comparacion_INDEC" sheetId="3" state="visible" r:id="rId5"/>
    <sheet name="Gini_T4_2024" sheetId="4" state="visible" r:id="rId6"/>
    <sheet name="Gini_T4_2025" sheetId="5" state="visible" r:id="rId7"/>
    <sheet name="Deciles_T4_2024" sheetId="6" state="visible" r:id="rId8"/>
    <sheet name="Deciles_T4_2025" sheetId="7" state="visible" r:id="rId9"/>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Fuente: INDEC, "Evolución de la distribución del ingreso (EPH)", Cuarto trimestre 2024. https://www.indec.gob.ar/uploads/informesdeprensa/ingresos_4trim24D779BFC8BE.pdf</t>
        </r>
      </text>
    </comment>
    <comment ref="C7" authorId="0">
      <text>
        <r>
          <rPr>
            <sz val="10"/>
            <rFont val="Arial"/>
            <family val="2"/>
          </rPr>
          <t xml:space="preserve">Fuente: INDEC, "Evolución de la distribución del ingreso (EPH)", Cuarto trimestre 2025. https://www.indec.gob.ar/uploads/informesdeprensa/ingresos4trim25474EFC9F16.pdf</t>
        </r>
      </text>
    </comment>
    <comment ref="C14" authorId="0">
      <text>
        <r>
          <rPr>
            <sz val="10"/>
            <rFont val="Arial"/>
            <family val="2"/>
          </rPr>
          <t xml:space="preserve">Fuente: INDEC, "EPH total urbano. Evolución de la distribución del ingreso", 3er trimestre de 2023 (Cuadro 2). Publicado en 2024.</t>
        </r>
      </text>
    </comment>
    <comment ref="C15" authorId="0">
      <text>
        <r>
          <rPr>
            <sz val="10"/>
            <rFont val="Arial"/>
            <family val="2"/>
          </rPr>
          <t xml:space="preserve">Fuente: INDEC, "EPH total urbano. Evolución de la distribución del ingreso", 3er trimestre de 2025 (Cuadro 2), publicado en febrero de 2026.</t>
        </r>
      </text>
    </comment>
  </commentList>
</comments>
</file>

<file path=xl/sharedStrings.xml><?xml version="1.0" encoding="utf-8"?>
<sst xmlns="http://schemas.openxmlformats.org/spreadsheetml/2006/main" count="121" uniqueCount="84">
  <si>
    <t xml:space="preserve">Coeficiente de Gini y Deciles - IPCF - Aglomerado Corrientes (EPH-INDEC)</t>
  </si>
  <si>
    <t xml:space="preserve">Variables utilizadas y por que</t>
  </si>
  <si>
    <t xml:space="preserve">IPCF</t>
  </si>
  <si>
    <t xml:space="preserve">Ingreso Per Capita Familiar. Variable estandar para medir desigualdad entre personas: divide el ingreso del hogar por su cantidad de miembros, permitiendo comparar hogares de distinto tamano.</t>
  </si>
  <si>
    <t xml:space="preserve">PONDIH</t>
  </si>
  <si>
    <t xml:space="preserve">Ponderador de ingreso per capita familiar (distinto de PONDERA, que es el ponderador demografico general). Es el que corresponde usar para IPCF/ITF segun el Anexo I del INDEC, ya que esta ajustado por no respuesta de ingresos.</t>
  </si>
  <si>
    <t xml:space="preserve">DECCFR</t>
  </si>
  <si>
    <t xml:space="preserve">Decil de IPCF calculado por INDEC a NIVEL NACIONAL. Aqui se usa unicamente como FILTRO de calidad de dato: se descartan los codigos 0 y 12 (hogar sin ingreso declarado / no responde). NO se usa para clasificar los deciles del grafico, porque clasificaria a los hogares de Corrientes contra la distribucion de TODO el pais, no contra si mismos (ver mas abajo).</t>
  </si>
  <si>
    <t xml:space="preserve">AGLOMERADO</t>
  </si>
  <si>
    <t xml:space="preserve">Codigo de aglomerado urbano de la EPH. Corrientes = codigo 12. Se filtra el universo a este aglomerado exclusivamente, segun lo definido con la catedra.</t>
  </si>
  <si>
    <t xml:space="preserve">Por que deciles LOCALES y no DECCFR directo</t>
  </si>
  <si>
    <t xml:space="preserve">DECCFR clasifica a cada hogar segun su posicion en la distribucion de ingresos de TODO EL PAIS. Si quisieramos ver como se reparte el ingreso dentro de Corrientes, usar DECCFR tal cual generaria deciles desbalanceados (por ejemplo, la mayoria de los hogares de Corrientes podria caer en los deciles bajos nacionales, dejando pocos o ningun caso en los deciles altos). Por eso se recalculan deciles LOCALES: se ordena a la poblacion de Corrientes por IPCF de menor a mayor y se corta en 10 grupos de igual tamano poblacional (ponderado por PONDIH), igual que hace INDEC pero restringido al aglomerado. Este calculo se hace en la columna I de las hojas Gini_T4_2024 y Gini_T4_2025, reutilizando la poblacion acumulada ya calculada para el Gini.</t>
  </si>
  <si>
    <t xml:space="preserve">Filtro aplicado</t>
  </si>
  <si>
    <t xml:space="preserve">AGLOMERADO = 12 (Corrientes) y DECCFR entre 1 y 10 (se excluyen los hogares sin ingreso declarado / no respuesta, codigos 0 y 12, que no reflejan pobreza real sino falta de dato).</t>
  </si>
  <si>
    <t xml:space="preserve">Como se agregaron los datos</t>
  </si>
  <si>
    <t xml:space="preserve">El IPCF se repite para todos los integrantes de un mismo hogar. Se agrupo por valor de IPCF sumando el PONDIH correspondiente, sin perder precision, para que la tabla sea manejable en Excel.</t>
  </si>
  <si>
    <t xml:space="preserve">Formula del Gini (metodo trapezoidal / Curva de Lorenz)</t>
  </si>
  <si>
    <t xml:space="preserve">1) Se ordena el IPCF de menor a mayor. 2) Se calcula la poblacion acumulada (X) y el ingreso acumulado (Y) como proporcion del total. 3) Gini = 1 - Sum (X_i - X_(i-1)) x (Y_i + Y_(i-1)). Un Gini de 0 = igualdad perfecta; un Gini de 1 = desigualdad maxima.</t>
  </si>
  <si>
    <t xml:space="preserve">Desigualdad de ingresos - Aglomerado Corrientes</t>
  </si>
  <si>
    <t xml:space="preserve">EPH-INDEC, 4to Trimestre 2024 vs 4to Trimestre 2025</t>
  </si>
  <si>
    <t xml:space="preserve">Coeficiente de Gini</t>
  </si>
  <si>
    <t xml:space="preserve">Periodo</t>
  </si>
  <si>
    <t xml:space="preserve">Gini</t>
  </si>
  <si>
    <t xml:space="preserve">4to Trimestre 2024</t>
  </si>
  <si>
    <t xml:space="preserve">4to Trimestre 2025</t>
  </si>
  <si>
    <t xml:space="preserve">Variacion</t>
  </si>
  <si>
    <t xml:space="preserve">Brechas entre deciles</t>
  </si>
  <si>
    <t xml:space="preserve">Indicador</t>
  </si>
  <si>
    <t xml:space="preserve">T4 2024</t>
  </si>
  <si>
    <t xml:space="preserve">T4 2025</t>
  </si>
  <si>
    <t xml:space="preserve">D10 / D1</t>
  </si>
  <si>
    <t xml:space="preserve">D9 / D1</t>
  </si>
  <si>
    <t xml:space="preserve">D10 / D5</t>
  </si>
  <si>
    <t xml:space="preserve">% ingreso del decil mas rico (D10)</t>
  </si>
  <si>
    <t xml:space="preserve">% ingreso del decil mas pobre (D1)</t>
  </si>
  <si>
    <t xml:space="preserve">Datos para Curva de Lorenz (acumulado por decil)</t>
  </si>
  <si>
    <t xml:space="preserve">Decil (0=origen)</t>
  </si>
  <si>
    <t xml:space="preserve">% Poblacion acumulada</t>
  </si>
  <si>
    <t xml:space="preserve">% Ingreso acum. T4 2024</t>
  </si>
  <si>
    <t xml:space="preserve">% Ingreso acum. T4 2025</t>
  </si>
  <si>
    <t xml:space="preserve">Linea de igualdad</t>
  </si>
  <si>
    <t xml:space="preserve">Ingreso promedio (IPCF) por decil</t>
  </si>
  <si>
    <t xml:space="preserve">Decil</t>
  </si>
  <si>
    <t xml:space="preserve">Evolucion del Gini</t>
  </si>
  <si>
    <t xml:space="preserve">Comparación con datos oficiales del INDEC</t>
  </si>
  <si>
    <t xml:space="preserve">Coeficiente de Gini del aglomerado/provincia Corrientes vs. Total Nacional Urbano</t>
  </si>
  <si>
    <t xml:space="preserve">1) Gini Nacional (31 aglomerados urbanos) - series trimestral oficial INDEC</t>
  </si>
  <si>
    <t xml:space="preserve">Gini Grupo 5 (aglomerado Corrientes)</t>
  </si>
  <si>
    <t xml:space="preserve">Gini INDEC (Total Nacional Urbano)</t>
  </si>
  <si>
    <t xml:space="preserve">Diferencia</t>
  </si>
  <si>
    <t xml:space="preserve">Nota: este Gini nacional agrega los 31 aglomerados urbanos del país (incluye CABA, GBA, etc.). No es directamente comparable con un Gini calculado solo para el aglomerado Corrientes: es esperable que un aglomerado individual tenga un nivel de desigualdad distinto al promedio nacional.</t>
  </si>
  <si>
    <t xml:space="preserve">2) Gini por provincia (EPH Total Urbano) - informe anual oficial INDEC, en base al 3er trimestre</t>
  </si>
  <si>
    <t xml:space="preserve">Periodo (INDEC = 3er trim.)</t>
  </si>
  <si>
    <t xml:space="preserve">Gini Grupo 5 (aglomerado Corrientes, 4to trim. mismo año)</t>
  </si>
  <si>
    <t xml:space="preserve">Gini INDEC (provincia Corrientes, total urbano)</t>
  </si>
  <si>
    <t xml:space="preserve">2023 / 2024</t>
  </si>
  <si>
    <t xml:space="preserve">2025</t>
  </si>
  <si>
    <t xml:space="preserve">Nota: este es el dato oficial más cercano geográficamente al calculado por el Grupo 5, pero con dos diferencias metodológicas importantes: (a) el INDEC mide la PROVINCIA de Corrientes (aglomerado + "resto urbano", localidades chicas), no solo el aglomerado/ciudad capital; y (b) el INDEC releva este dato una vez al año, en el 3er trimestre, mientras que nuestro cálculo usa el 4to trimestre. Por eso los períodos no son exactamente los mismos.</t>
  </si>
  <si>
    <t xml:space="preserve">3) Conclusiones de la comparación</t>
  </si>
  <si>
    <t xml:space="preserve">- El Gini del aglomerado Corrientes calculado por el Grupo 5 (~0,33) es sensiblemente menor al Gini nacional de 31 aglomerados (~0,43). Esto es esperable: el indicador nacional agrega jurisdicciones con mucha mayor desigualdad (ej. CABA, Buenos Aires) y no debería coincidir con el de un aglomerado del interior.</t>
  </si>
  <si>
    <t xml:space="preserve">- La comparación más cercana en términos geográficos es la del Gini provincial de Corrientes que publica el INDEC una vez al año (0,421 en 2023 y 0,351 en 2025). El valor de 2025 (0,351) es del mismo orden de magnitud que el calculado por el grupo para T4 2025 (0,3358), aunque no idéntico por las diferencias de trimestre y de cobertura geográfica explicadas arriba.</t>
  </si>
  <si>
    <t xml:space="preserve">- Se observa una diferencia de tendencia que vale la pena mencionar como limitación: el INDEC muestra una fuerte CAÍDA del Gini provincial entre 2023 y 2025, mientras que el cálculo del grupo muestra un leve AUMENTO entre T4 2024 y T4 2025. Esto puede deberse a la diferencia de trimestre/cobertura geográfica, y no debe interpretarse como un error de cálculo sin antes profundizar el análisis.</t>
  </si>
  <si>
    <t xml:space="preserve">- Conclusión: los valores del Grupo 5 son plausibles y del orden de magnitud correcto, pero no son directamente comparables con la cifra nacional del INDEC ni 100% equivalentes a la cifra provincial (distinta cobertura geográfica y distinto trimestre de referencia).</t>
  </si>
  <si>
    <t xml:space="preserve">PONDIH (peso)</t>
  </si>
  <si>
    <t xml:space="preserve">Ingreso total (IPCF x PONDIH)</t>
  </si>
  <si>
    <t xml:space="preserve">Poblacion acumulada</t>
  </si>
  <si>
    <t xml:space="preserve">Ingreso acumulado</t>
  </si>
  <si>
    <t xml:space="preserve">% Poblacion acum. (X)</t>
  </si>
  <si>
    <t xml:space="preserve">% Ingreso acum. (Y)</t>
  </si>
  <si>
    <t xml:space="preserve">Termino trapezoide</t>
  </si>
  <si>
    <t xml:space="preserve">Decil local (Corrientes)</t>
  </si>
  <si>
    <t xml:space="preserve">Suma terminos trapezoide (Sum H)</t>
  </si>
  <si>
    <t xml:space="preserve">COEFICIENTE DE GINI</t>
  </si>
  <si>
    <t xml:space="preserve">Poblacion ponderada</t>
  </si>
  <si>
    <t xml:space="preserve">Ingreso total ponderado</t>
  </si>
  <si>
    <t xml:space="preserve">IPCF promedio del decil</t>
  </si>
  <si>
    <t xml:space="preserve">% del ingreso total</t>
  </si>
  <si>
    <t xml:space="preserve">Brechas de ingreso entre deciles</t>
  </si>
  <si>
    <t xml:space="preserve">Brecha</t>
  </si>
  <si>
    <t xml:space="preserve">Valor</t>
  </si>
  <si>
    <t xml:space="preserve">D10 / D1 (decil mas rico vs mas pobre)</t>
  </si>
  <si>
    <t xml:space="preserve">D10 / D5 (decil mas rico vs mediano)</t>
  </si>
  <si>
    <t xml:space="preserve">% ingreso del decil 10 (mas rico)</t>
  </si>
  <si>
    <t xml:space="preserve">% ingreso del decil 1 (mas pobre)</t>
  </si>
</sst>
</file>

<file path=xl/styles.xml><?xml version="1.0" encoding="utf-8"?>
<styleSheet xmlns="http://schemas.openxmlformats.org/spreadsheetml/2006/main">
  <numFmts count="10">
    <numFmt numFmtId="164" formatCode="General"/>
    <numFmt numFmtId="165" formatCode="0.0000"/>
    <numFmt numFmtId="166" formatCode="\+0.0000;\-0.0000"/>
    <numFmt numFmtId="167" formatCode="0.00&quot; veces&quot;"/>
    <numFmt numFmtId="168" formatCode="0.0%"/>
    <numFmt numFmtId="169" formatCode="0%"/>
    <numFmt numFmtId="170" formatCode="#,##0"/>
    <numFmt numFmtId="171" formatCode="0.000"/>
    <numFmt numFmtId="172" formatCode="0.000000"/>
    <numFmt numFmtId="173" formatCode="0"/>
  </numFmts>
  <fonts count="21">
    <font>
      <sz val="11"/>
      <color theme="1"/>
      <name val="Calibri"/>
      <family val="0"/>
      <charset val="1"/>
    </font>
    <font>
      <sz val="10"/>
      <name val="Arial"/>
      <family val="0"/>
    </font>
    <font>
      <sz val="10"/>
      <name val="Arial"/>
      <family val="0"/>
    </font>
    <font>
      <sz val="10"/>
      <name val="Arial"/>
      <family val="0"/>
    </font>
    <font>
      <b val="true"/>
      <sz val="14"/>
      <color rgb="FF1F4E78"/>
      <name val="Arial"/>
      <family val="0"/>
      <charset val="1"/>
    </font>
    <font>
      <b val="true"/>
      <sz val="11"/>
      <color rgb="FF1F4E78"/>
      <name val="Arial"/>
      <family val="0"/>
      <charset val="1"/>
    </font>
    <font>
      <b val="true"/>
      <sz val="10"/>
      <color theme="1"/>
      <name val="Arial"/>
      <family val="0"/>
      <charset val="1"/>
    </font>
    <font>
      <sz val="10"/>
      <color theme="1"/>
      <name val="Arial"/>
      <family val="0"/>
      <charset val="1"/>
    </font>
    <font>
      <i val="true"/>
      <sz val="10"/>
      <color theme="1"/>
      <name val="Arial"/>
      <family val="0"/>
      <charset val="1"/>
    </font>
    <font>
      <b val="true"/>
      <sz val="12"/>
      <color rgb="FF1F4E78"/>
      <name val="Arial"/>
      <family val="0"/>
      <charset val="1"/>
    </font>
    <font>
      <b val="true"/>
      <sz val="10"/>
      <color rgb="FFFFFFFF"/>
      <name val="Arial"/>
      <family val="0"/>
      <charset val="1"/>
    </font>
    <font>
      <b val="true"/>
      <sz val="9"/>
      <color theme="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name val="Arial"/>
      <family val="0"/>
      <charset val="1"/>
    </font>
    <font>
      <sz val="10"/>
      <name val="Arial"/>
      <family val="0"/>
      <charset val="1"/>
    </font>
    <font>
      <b val="true"/>
      <sz val="12"/>
      <name val="Arial"/>
      <family val="0"/>
      <charset val="1"/>
    </font>
    <font>
      <i val="true"/>
      <sz val="9"/>
      <color rgb="FF555555"/>
      <name val="Arial"/>
      <family val="0"/>
      <charset val="1"/>
    </font>
    <font>
      <sz val="10"/>
      <name val="Arial"/>
      <family val="2"/>
    </font>
    <font>
      <b val="true"/>
      <sz val="12"/>
      <color theme="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6" fontId="6" fillId="3" borderId="0" xfId="0" applyFont="true" applyBorder="tru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7" fontId="6" fillId="3" borderId="0"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8" fontId="6" fillId="3"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top" textRotation="0" wrapText="true" indent="0" shrinkToFit="false"/>
      <protection locked="true" hidden="false"/>
    </xf>
    <xf numFmtId="171"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73" fontId="7" fillId="0" borderId="0" xfId="0" applyFont="true" applyBorder="false" applyAlignment="true" applyProtection="false">
      <alignment horizontal="general" vertical="bottom" textRotation="0" wrapText="false" indent="0" shrinkToFit="false"/>
      <protection locked="true" hidden="false"/>
    </xf>
    <xf numFmtId="164" fontId="20" fillId="3" borderId="0" xfId="0" applyFont="true" applyBorder="true" applyAlignment="true" applyProtection="false">
      <alignment horizontal="general" vertical="bottom" textRotation="0" wrapText="false" indent="0" shrinkToFit="false"/>
      <protection locked="true" hidden="false"/>
    </xf>
    <xf numFmtId="164" fontId="0" fillId="3" borderId="0" xfId="0" applyFont="true" applyBorder="true" applyAlignment="true" applyProtection="false">
      <alignment horizontal="general" vertical="bottom" textRotation="0" wrapText="false" indent="0" shrinkToFit="false"/>
      <protection locked="true" hidden="false"/>
    </xf>
    <xf numFmtId="165" fontId="20" fillId="3" borderId="0" xfId="0" applyFont="true" applyBorder="tru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7" fontId="6" fillId="3" borderId="0" xfId="0" applyFont="true" applyBorder="true" applyAlignment="true" applyProtection="false">
      <alignment horizontal="general" vertical="bottom" textRotation="0" wrapText="false" indent="0" shrinkToFit="false"/>
      <protection locked="true" hidden="false"/>
    </xf>
    <xf numFmtId="168" fontId="6" fillId="3"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4F81BD"/>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8B855"/>
      <rgbColor rgb="FFFFCC00"/>
      <rgbColor rgb="FFFF9900"/>
      <rgbColor rgb="FFFF6600"/>
      <rgbColor rgb="FF4A7EBB"/>
      <rgbColor rgb="FF969696"/>
      <rgbColor rgb="FF003366"/>
      <rgbColor rgb="FF339966"/>
      <rgbColor rgb="FF003300"/>
      <rgbColor rgb="FF333300"/>
      <rgbColor rgb="FF993300"/>
      <rgbColor rgb="FFC0504D"/>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Curva de Lorenz - Corrientes</a:t>
            </a:r>
          </a:p>
        </c:rich>
      </c:tx>
      <c:overlay val="0"/>
      <c:spPr>
        <a:noFill/>
        <a:ln w="0">
          <a:noFill/>
        </a:ln>
      </c:spPr>
    </c:title>
    <c:autoTitleDeleted val="0"/>
    <c:plotArea>
      <c:scatterChart>
        <c:scatterStyle val="lineMarker"/>
        <c:varyColors val="0"/>
        <c:ser>
          <c:idx val="0"/>
          <c:order val="0"/>
          <c:tx>
            <c:strRef>
              <c:f>"% Ingreso acum. T4 2024"</c:f>
              <c:strCache>
                <c:ptCount val="1"/>
                <c:pt idx="0">
                  <c:v>% Ingreso acum. T4 2024</c:v>
                </c:pt>
              </c:strCache>
            </c:strRef>
          </c:tx>
          <c:spPr>
            <a:solidFill>
              <a:srgbClr val="4a7ebb"/>
            </a:solidFill>
            <a:ln w="19080">
              <a:noFill/>
            </a:ln>
          </c:spPr>
          <c:marker>
            <c:symbol val="circle"/>
            <c:size val="7"/>
            <c:spPr>
              <a:solidFill>
                <a:srgbClr val="4a7ebb"/>
              </a:solidFill>
            </c:spPr>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Resumen!$B$32:$B$42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Resumen!$C$32:$C$42</c:f>
              <c:numCache>
                <c:formatCode>General</c:formatCode>
                <c:ptCount val="11"/>
                <c:pt idx="0">
                  <c:v>0</c:v>
                </c:pt>
                <c:pt idx="1">
                  <c:v>0.0290149871917991</c:v>
                </c:pt>
                <c:pt idx="2">
                  <c:v>0.0727133534179037</c:v>
                </c:pt>
                <c:pt idx="3">
                  <c:v>0.135757076403313</c:v>
                </c:pt>
                <c:pt idx="4">
                  <c:v>0.197890008652448</c:v>
                </c:pt>
                <c:pt idx="5">
                  <c:v>0.27542311726758</c:v>
                </c:pt>
                <c:pt idx="6">
                  <c:v>0.36199815572479</c:v>
                </c:pt>
                <c:pt idx="7">
                  <c:v>0.46428293480861</c:v>
                </c:pt>
                <c:pt idx="8">
                  <c:v>0.585637460745374</c:v>
                </c:pt>
                <c:pt idx="9">
                  <c:v>0.737742411129208</c:v>
                </c:pt>
                <c:pt idx="10">
                  <c:v>1</c:v>
                </c:pt>
              </c:numCache>
            </c:numRef>
          </c:yVal>
          <c:smooth val="1"/>
        </c:ser>
        <c:ser>
          <c:idx val="1"/>
          <c:order val="1"/>
          <c:tx>
            <c:strRef>
              <c:f>"% Ingreso acum. T4 2025"</c:f>
              <c:strCache>
                <c:ptCount val="1"/>
                <c:pt idx="0">
                  <c:v>% Ingreso acum. T4 2025</c:v>
                </c:pt>
              </c:strCache>
            </c:strRef>
          </c:tx>
          <c:spPr>
            <a:solidFill>
              <a:srgbClr val="be4b48"/>
            </a:solidFill>
            <a:ln w="19080">
              <a:noFill/>
            </a:ln>
          </c:spPr>
          <c:marker>
            <c:symbol val="circle"/>
            <c:size val="7"/>
            <c:spPr>
              <a:solidFill>
                <a:srgbClr val="be4b48"/>
              </a:solidFill>
            </c:spPr>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Resumen!$B$32:$B$42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Resumen!$D$32:$D$42</c:f>
              <c:numCache>
                <c:formatCode>General</c:formatCode>
                <c:ptCount val="11"/>
                <c:pt idx="0">
                  <c:v>0</c:v>
                </c:pt>
                <c:pt idx="1">
                  <c:v>0.0246004049057018</c:v>
                </c:pt>
                <c:pt idx="2">
                  <c:v>0.063940608815266</c:v>
                </c:pt>
                <c:pt idx="3">
                  <c:v>0.119595230250875</c:v>
                </c:pt>
                <c:pt idx="4">
                  <c:v>0.188058602843836</c:v>
                </c:pt>
                <c:pt idx="5">
                  <c:v>0.261181245791866</c:v>
                </c:pt>
                <c:pt idx="6">
                  <c:v>0.351729378761962</c:v>
                </c:pt>
                <c:pt idx="7">
                  <c:v>0.464490900041713</c:v>
                </c:pt>
                <c:pt idx="8">
                  <c:v>0.595018070341033</c:v>
                </c:pt>
                <c:pt idx="9">
                  <c:v>0.752962533654193</c:v>
                </c:pt>
                <c:pt idx="10">
                  <c:v>1</c:v>
                </c:pt>
              </c:numCache>
            </c:numRef>
          </c:yVal>
          <c:smooth val="1"/>
        </c:ser>
        <c:ser>
          <c:idx val="2"/>
          <c:order val="2"/>
          <c:tx>
            <c:strRef>
              <c:f>"Linea de igualdad"</c:f>
              <c:strCache>
                <c:ptCount val="1"/>
                <c:pt idx="0">
                  <c:v>Linea de igualdad</c:v>
                </c:pt>
              </c:strCache>
            </c:strRef>
          </c:tx>
          <c:spPr>
            <a:solidFill>
              <a:srgbClr val="98b855"/>
            </a:solidFill>
            <a:ln w="19080">
              <a:noFill/>
            </a:ln>
          </c:spPr>
          <c:marker>
            <c:symbol val="circle"/>
            <c:size val="7"/>
            <c:spPr>
              <a:solidFill>
                <a:srgbClr val="98b855"/>
              </a:solidFill>
            </c:spPr>
          </c:marker>
          <c:dLbls>
            <c:txPr>
              <a:bodyPr wrap="square"/>
              <a:lstStyle/>
              <a:p>
                <a:pPr>
                  <a:defRPr b="0" sz="1000" spc="-1" strike="noStrike">
                    <a:solidFill>
                      <a:srgbClr val="000000"/>
                    </a:solidFill>
                    <a:latin typeface="Calibri"/>
                    <a:ea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Resumen!$B$32:$B$42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Resumen!$E$32:$E$42</c:f>
              <c:numCache>
                <c:formatCode>General</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1"/>
        </c:ser>
        <c:axId val="92399288"/>
        <c:axId val="7492979"/>
      </c:scatterChart>
      <c:valAx>
        <c:axId val="92399288"/>
        <c:scaling>
          <c:orientation val="minMax"/>
        </c:scaling>
        <c:delete val="0"/>
        <c:axPos val="b"/>
        <c:majorGridlines>
          <c:spPr>
            <a:ln w="6480">
              <a:solidFill>
                <a:srgbClr val="b7b7b7"/>
              </a:solidFill>
              <a:round/>
            </a:ln>
          </c:spPr>
        </c:majorGridlines>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 Poblacion acumulada</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7492979"/>
        <c:crosses val="autoZero"/>
        <c:crossBetween val="midCat"/>
      </c:valAx>
      <c:valAx>
        <c:axId val="7492979"/>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 Ingreso acumulado</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9239928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IPCF promedio por decil - Corrientes</a:t>
            </a:r>
          </a:p>
        </c:rich>
      </c:tx>
      <c:overlay val="0"/>
      <c:spPr>
        <a:noFill/>
        <a:ln w="0">
          <a:noFill/>
        </a:ln>
      </c:spPr>
    </c:title>
    <c:autoTitleDeleted val="0"/>
    <c:plotArea>
      <c:barChart>
        <c:barDir val="col"/>
        <c:grouping val="clustered"/>
        <c:varyColors val="0"/>
        <c:ser>
          <c:idx val="0"/>
          <c:order val="0"/>
          <c:tx>
            <c:strRef>
              <c:f>"T4 2024"</c:f>
              <c:strCache>
                <c:ptCount val="1"/>
                <c:pt idx="0">
                  <c:v>T4 2024</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Resumen!$A$46:$A$55</c:f>
              <c:strCache>
                <c:ptCount val="10"/>
                <c:pt idx="0">
                  <c:v>1</c:v>
                </c:pt>
                <c:pt idx="1">
                  <c:v>2</c:v>
                </c:pt>
                <c:pt idx="2">
                  <c:v>3</c:v>
                </c:pt>
                <c:pt idx="3">
                  <c:v>4</c:v>
                </c:pt>
                <c:pt idx="4">
                  <c:v>5</c:v>
                </c:pt>
                <c:pt idx="5">
                  <c:v>6</c:v>
                </c:pt>
                <c:pt idx="6">
                  <c:v>7</c:v>
                </c:pt>
                <c:pt idx="7">
                  <c:v>8</c:v>
                </c:pt>
                <c:pt idx="8">
                  <c:v>9</c:v>
                </c:pt>
                <c:pt idx="9">
                  <c:v>10</c:v>
                </c:pt>
              </c:strCache>
            </c:strRef>
          </c:cat>
          <c:val>
            <c:numRef>
              <c:f>Resumen!$B$46:$B$55</c:f>
              <c:numCache>
                <c:formatCode>#,##0</c:formatCode>
                <c:ptCount val="10"/>
                <c:pt idx="0">
                  <c:v>99450.647246865</c:v>
                </c:pt>
                <c:pt idx="1">
                  <c:v>156387.49313648</c:v>
                </c:pt>
                <c:pt idx="2">
                  <c:v>197580.345095354</c:v>
                </c:pt>
                <c:pt idx="3">
                  <c:v>221641.507301065</c:v>
                </c:pt>
                <c:pt idx="4">
                  <c:v>250723.973495319</c:v>
                </c:pt>
                <c:pt idx="5">
                  <c:v>297041.402101305</c:v>
                </c:pt>
                <c:pt idx="6">
                  <c:v>347677.724982656</c:v>
                </c:pt>
                <c:pt idx="7">
                  <c:v>398599.889863194</c:v>
                </c:pt>
                <c:pt idx="8">
                  <c:v>511112.48978765</c:v>
                </c:pt>
                <c:pt idx="9">
                  <c:v>872719.659321326</c:v>
                </c:pt>
              </c:numCache>
            </c:numRef>
          </c:val>
        </c:ser>
        <c:ser>
          <c:idx val="1"/>
          <c:order val="1"/>
          <c:tx>
            <c:strRef>
              <c:f>"T4 2025"</c:f>
              <c:strCache>
                <c:ptCount val="1"/>
                <c:pt idx="0">
                  <c:v>T4 2025</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Resumen!$A$46:$A$55</c:f>
              <c:strCache>
                <c:ptCount val="10"/>
                <c:pt idx="0">
                  <c:v>1</c:v>
                </c:pt>
                <c:pt idx="1">
                  <c:v>2</c:v>
                </c:pt>
                <c:pt idx="2">
                  <c:v>3</c:v>
                </c:pt>
                <c:pt idx="3">
                  <c:v>4</c:v>
                </c:pt>
                <c:pt idx="4">
                  <c:v>5</c:v>
                </c:pt>
                <c:pt idx="5">
                  <c:v>6</c:v>
                </c:pt>
                <c:pt idx="6">
                  <c:v>7</c:v>
                </c:pt>
                <c:pt idx="7">
                  <c:v>8</c:v>
                </c:pt>
                <c:pt idx="8">
                  <c:v>9</c:v>
                </c:pt>
                <c:pt idx="9">
                  <c:v>10</c:v>
                </c:pt>
              </c:strCache>
            </c:strRef>
          </c:cat>
          <c:val>
            <c:numRef>
              <c:f>Resumen!$C$46:$C$55</c:f>
              <c:numCache>
                <c:formatCode>#,##0</c:formatCode>
                <c:ptCount val="10"/>
                <c:pt idx="0">
                  <c:v>109085.179440235</c:v>
                </c:pt>
                <c:pt idx="1">
                  <c:v>184462.701233655</c:v>
                </c:pt>
                <c:pt idx="2">
                  <c:v>243511.784474921</c:v>
                </c:pt>
                <c:pt idx="3">
                  <c:v>291700.117802342</c:v>
                </c:pt>
                <c:pt idx="4">
                  <c:v>349467.211145159</c:v>
                </c:pt>
                <c:pt idx="5">
                  <c:v>397317.727486961</c:v>
                </c:pt>
                <c:pt idx="6">
                  <c:v>479657.616479654</c:v>
                </c:pt>
                <c:pt idx="7">
                  <c:v>565244.587476552</c:v>
                </c:pt>
                <c:pt idx="8">
                  <c:v>705537.464434829</c:v>
                </c:pt>
                <c:pt idx="9">
                  <c:v>1072044.49470117</c:v>
                </c:pt>
              </c:numCache>
            </c:numRef>
          </c:val>
        </c:ser>
        <c:gapWidth val="150"/>
        <c:overlap val="0"/>
        <c:axId val="57975283"/>
        <c:axId val="82200207"/>
      </c:barChart>
      <c:catAx>
        <c:axId val="57975283"/>
        <c:scaling>
          <c:orientation val="minMax"/>
        </c:scaling>
        <c:delete val="0"/>
        <c:axPos val="b"/>
        <c:title>
          <c:tx>
            <c:rich>
              <a:bodyPr rot="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Decil</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82200207"/>
        <c:crosses val="autoZero"/>
        <c:auto val="1"/>
        <c:lblAlgn val="ctr"/>
        <c:lblOffset val="100"/>
        <c:noMultiLvlLbl val="0"/>
      </c:catAx>
      <c:valAx>
        <c:axId val="82200207"/>
        <c:scaling>
          <c:orientation val="minMax"/>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IPCF ($)</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5797528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Evolucion del Coeficiente de Gini - Corrientes</a:t>
            </a:r>
          </a:p>
        </c:rich>
      </c:tx>
      <c:overlay val="0"/>
      <c:spPr>
        <a:noFill/>
        <a:ln w="0">
          <a:noFill/>
        </a:ln>
      </c:spPr>
    </c:title>
    <c:autoTitleDeleted val="0"/>
    <c:plotArea>
      <c:barChart>
        <c:barDir val="col"/>
        <c:grouping val="clustered"/>
        <c:varyColors val="0"/>
        <c:ser>
          <c:idx val="0"/>
          <c:order val="0"/>
          <c:tx>
            <c:strRef>
              <c:f>"Gini"</c:f>
              <c:strCache>
                <c:ptCount val="1"/>
                <c:pt idx="0">
                  <c:v>Gini</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Resumen!$A$58:$A$59</c:f>
              <c:strCache>
                <c:ptCount val="2"/>
                <c:pt idx="0">
                  <c:v>T4 2024</c:v>
                </c:pt>
                <c:pt idx="1">
                  <c:v>T4 2025</c:v>
                </c:pt>
              </c:strCache>
            </c:strRef>
          </c:cat>
          <c:val>
            <c:numRef>
              <c:f>Resumen!$B$58:$B$59</c:f>
              <c:numCache>
                <c:formatCode>0.0000</c:formatCode>
                <c:ptCount val="2"/>
                <c:pt idx="0">
                  <c:v>0.330570674286004</c:v>
                </c:pt>
                <c:pt idx="1">
                  <c:v>0.335805392397216</c:v>
                </c:pt>
              </c:numCache>
            </c:numRef>
          </c:val>
        </c:ser>
        <c:gapWidth val="150"/>
        <c:overlap val="0"/>
        <c:axId val="9086380"/>
        <c:axId val="59066057"/>
      </c:barChart>
      <c:catAx>
        <c:axId val="9086380"/>
        <c:scaling>
          <c:orientation val="minMax"/>
        </c:scaling>
        <c:delete val="0"/>
        <c:axPos val="b"/>
        <c:title>
          <c:tx>
            <c:rich>
              <a:bodyPr rot="0"/>
              <a:lstStyle/>
              <a:p>
                <a:pPr>
                  <a:defRPr b="0" sz="1000" spc="-1" strike="noStrike">
                    <a:solidFill>
                      <a:srgbClr val="000000"/>
                    </a:solidFill>
                    <a:latin typeface="Calibri"/>
                    <a:ea typeface="Calibri"/>
                  </a:defRPr>
                </a:pPr>
                <a:r>
                  <a:rPr b="0" sz="1000" spc="-1" strike="noStrike">
                    <a:solidFill>
                      <a:srgbClr val="000000"/>
                    </a:solidFill>
                    <a:latin typeface="Calibri"/>
                    <a:ea typeface="Calibri"/>
                  </a:rPr>
                  <a:t>None</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59066057"/>
        <c:crosses val="autoZero"/>
        <c:auto val="1"/>
        <c:lblAlgn val="ctr"/>
        <c:lblOffset val="100"/>
        <c:noMultiLvlLbl val="0"/>
      </c:catAx>
      <c:valAx>
        <c:axId val="59066057"/>
        <c:scaling>
          <c:orientation val="minMax"/>
          <c:min val="0"/>
        </c:scaling>
        <c:delete val="0"/>
        <c:axPos val="l"/>
        <c:majorGridlines>
          <c:spPr>
            <a:ln w="6480">
              <a:solidFill>
                <a:srgbClr val="b7b7b7"/>
              </a:solidFill>
              <a:round/>
            </a:ln>
          </c:spPr>
        </c:majorGridlines>
        <c:title>
          <c:tx>
            <c:rich>
              <a:bodyPr rot="-5400000"/>
              <a:lstStyle/>
              <a:p>
                <a:pPr>
                  <a:defRPr b="1" sz="1000" spc="-1" strike="noStrike">
                    <a:solidFill>
                      <a:srgbClr val="000000"/>
                    </a:solidFill>
                    <a:latin typeface="Calibri"/>
                    <a:ea typeface="Calibri"/>
                  </a:defRPr>
                </a:pPr>
                <a:r>
                  <a:rPr b="1" sz="1000" spc="-1" strike="noStrike">
                    <a:solidFill>
                      <a:srgbClr val="000000"/>
                    </a:solidFill>
                    <a:latin typeface="Calibri"/>
                    <a:ea typeface="Calibri"/>
                  </a:rPr>
                  <a:t>Gini</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Calibri"/>
              </a:defRPr>
            </a:pPr>
          </a:p>
        </c:txPr>
        <c:crossAx val="90863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122400</xdr:rowOff>
    </xdr:from>
    <xdr:to>
      <xdr:col>13</xdr:col>
      <xdr:colOff>564480</xdr:colOff>
      <xdr:row>20</xdr:row>
      <xdr:rowOff>93600</xdr:rowOff>
    </xdr:to>
    <xdr:graphicFrame>
      <xdr:nvGraphicFramePr>
        <xdr:cNvPr id="0" name="Chart 1"/>
        <xdr:cNvGraphicFramePr/>
      </xdr:nvGraphicFramePr>
      <xdr:xfrm>
        <a:off x="6252840" y="533160"/>
        <a:ext cx="5476680" cy="340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20</xdr:row>
      <xdr:rowOff>122400</xdr:rowOff>
    </xdr:from>
    <xdr:to>
      <xdr:col>13</xdr:col>
      <xdr:colOff>564480</xdr:colOff>
      <xdr:row>37</xdr:row>
      <xdr:rowOff>122040</xdr:rowOff>
    </xdr:to>
    <xdr:graphicFrame>
      <xdr:nvGraphicFramePr>
        <xdr:cNvPr id="1" name="Chart 2"/>
        <xdr:cNvGraphicFramePr/>
      </xdr:nvGraphicFramePr>
      <xdr:xfrm>
        <a:off x="6252840" y="3962160"/>
        <a:ext cx="5476680" cy="3400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xdr:row>
      <xdr:rowOff>122400</xdr:rowOff>
    </xdr:from>
    <xdr:to>
      <xdr:col>18</xdr:col>
      <xdr:colOff>367560</xdr:colOff>
      <xdr:row>18</xdr:row>
      <xdr:rowOff>93240</xdr:rowOff>
    </xdr:to>
    <xdr:graphicFrame>
      <xdr:nvGraphicFramePr>
        <xdr:cNvPr id="2" name="Chart 3"/>
        <xdr:cNvGraphicFramePr/>
      </xdr:nvGraphicFramePr>
      <xdr:xfrm>
        <a:off x="11165040" y="533160"/>
        <a:ext cx="3438000" cy="30189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abla_1" displayName="Tabla_1" ref="A1:I266" headerRowCount="1" totalsRowCount="0" totalsRowShown="0">
  <tableColumns count="9">
    <tableColumn id="1" name="IPCF"/>
    <tableColumn id="2" name="PONDIH (peso)"/>
    <tableColumn id="3" name="Ingreso total (IPCF x PONDIH)"/>
    <tableColumn id="4" name="Poblacion acumulada"/>
    <tableColumn id="5" name="Ingreso acumulado"/>
    <tableColumn id="6" name="% Poblacion acum. (X)"/>
    <tableColumn id="7" name="% Ingreso acum. (Y)"/>
    <tableColumn id="8" name="Termino trapezoide"/>
    <tableColumn id="9" name="Decil local (Corrientes)"/>
  </tableColumns>
</table>
</file>

<file path=xl/tables/table2.xml><?xml version="1.0" encoding="utf-8"?>
<table xmlns="http://schemas.openxmlformats.org/spreadsheetml/2006/main" id="2" name="Tabla_2" displayName="Tabla_2" ref="A1:I222" headerRowCount="1" totalsRowCount="0" totalsRowShown="0">
  <tableColumns count="9">
    <tableColumn id="1" name="IPCF"/>
    <tableColumn id="2" name="PONDIH (peso)"/>
    <tableColumn id="3" name="Ingreso total (IPCF x PONDIH)"/>
    <tableColumn id="4" name="Poblacion acumulada"/>
    <tableColumn id="5" name="Ingreso acumulado"/>
    <tableColumn id="6" name="% Poblacion acum. (X)"/>
    <tableColumn id="7" name="% Ingreso acum. (Y)"/>
    <tableColumn id="8" name="Termino trapezoide"/>
    <tableColumn id="9" name="Decil local (Corrientes)"/>
  </tableColumns>
</table>
</file>

<file path=xl/tables/table3.xml><?xml version="1.0" encoding="utf-8"?>
<table xmlns="http://schemas.openxmlformats.org/spreadsheetml/2006/main" id="3" name="Tabla_3" displayName="Tabla_3" ref="A1:E11" headerRowCount="1" totalsRowCount="0" totalsRowShown="0">
  <tableColumns count="5">
    <tableColumn id="1" name="Decil local (Corrientes)"/>
    <tableColumn id="2" name="Poblacion ponderada"/>
    <tableColumn id="3" name="Ingreso total ponderado"/>
    <tableColumn id="4" name="IPCF promedio del decil"/>
    <tableColumn id="5" name="% del ingreso total"/>
  </tableColumns>
</table>
</file>

<file path=xl/tables/table4.xml><?xml version="1.0" encoding="utf-8"?>
<table xmlns="http://schemas.openxmlformats.org/spreadsheetml/2006/main" id="4" name="Tabla_4" displayName="Tabla_4" ref="A1:E11" headerRowCount="1" totalsRowCount="0" totalsRowShown="0">
  <tableColumns count="5">
    <tableColumn id="1" name="Decil local (Corrientes)"/>
    <tableColumn id="2" name="Poblacion ponderada"/>
    <tableColumn id="3" name="Ingreso total ponderado"/>
    <tableColumn id="4" name="IPCF promedio del decil"/>
    <tableColumn id="5" name="% del ingreso total"/>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5"/>
    <col collapsed="false" customWidth="true" hidden="false" outlineLevel="0" max="26" min="4" style="0" width="8.71"/>
  </cols>
  <sheetData>
    <row r="2" customFormat="false" ht="17.35" hidden="false" customHeight="false" outlineLevel="0" collapsed="false">
      <c r="B2" s="1" t="s">
        <v>0</v>
      </c>
    </row>
    <row r="4" customFormat="false" ht="15" hidden="false" customHeight="false" outlineLevel="0" collapsed="false">
      <c r="B4" s="2" t="s">
        <v>1</v>
      </c>
    </row>
    <row r="5" customFormat="false" ht="61.5" hidden="false" customHeight="true" outlineLevel="0" collapsed="false">
      <c r="B5" s="3" t="s">
        <v>2</v>
      </c>
      <c r="C5" s="4" t="s">
        <v>3</v>
      </c>
    </row>
    <row r="7" customFormat="false" ht="61.5" hidden="false" customHeight="true" outlineLevel="0" collapsed="false">
      <c r="B7" s="3" t="s">
        <v>4</v>
      </c>
      <c r="C7" s="4" t="s">
        <v>5</v>
      </c>
    </row>
    <row r="9" customFormat="false" ht="61.5" hidden="false" customHeight="true" outlineLevel="0" collapsed="false">
      <c r="B9" s="3" t="s">
        <v>6</v>
      </c>
      <c r="C9" s="4" t="s">
        <v>7</v>
      </c>
    </row>
    <row r="11" customFormat="false" ht="61.5" hidden="false" customHeight="true" outlineLevel="0" collapsed="false">
      <c r="B11" s="3" t="s">
        <v>8</v>
      </c>
      <c r="C11" s="4" t="s">
        <v>9</v>
      </c>
    </row>
    <row r="14" customFormat="false" ht="15" hidden="false" customHeight="false" outlineLevel="0" collapsed="false">
      <c r="B14" s="2" t="s">
        <v>10</v>
      </c>
    </row>
    <row r="15" customFormat="false" ht="90" hidden="false" customHeight="true" outlineLevel="0" collapsed="false">
      <c r="C15" s="4" t="s">
        <v>11</v>
      </c>
    </row>
    <row r="17" customFormat="false" ht="15" hidden="false" customHeight="false" outlineLevel="0" collapsed="false">
      <c r="B17" s="2" t="s">
        <v>12</v>
      </c>
    </row>
    <row r="18" customFormat="false" ht="48" hidden="false" customHeight="true" outlineLevel="0" collapsed="false">
      <c r="C18" s="4" t="s">
        <v>13</v>
      </c>
    </row>
    <row r="20" customFormat="false" ht="15" hidden="false" customHeight="false" outlineLevel="0" collapsed="false">
      <c r="B20" s="2" t="s">
        <v>14</v>
      </c>
    </row>
    <row r="21" customFormat="false" ht="48" hidden="false" customHeight="true" outlineLevel="0" collapsed="false">
      <c r="C21" s="4" t="s">
        <v>15</v>
      </c>
    </row>
    <row r="22" customFormat="false" ht="15.75" hidden="false" customHeight="true" outlineLevel="0" collapsed="false"/>
    <row r="23" customFormat="false" ht="15.75" hidden="false" customHeight="true" outlineLevel="0" collapsed="false">
      <c r="B23" s="2" t="s">
        <v>16</v>
      </c>
    </row>
    <row r="24" customFormat="false" ht="61.5" hidden="false" customHeight="true" outlineLevel="0" collapsed="false">
      <c r="C24" s="4" t="s">
        <v>17</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32"/>
    <col collapsed="false" customWidth="true" hidden="false" outlineLevel="0" max="4" min="2" style="0" width="16"/>
    <col collapsed="false" customWidth="true" hidden="false" outlineLevel="0" max="26" min="5" style="0" width="8.71"/>
  </cols>
  <sheetData>
    <row r="1" customFormat="false" ht="17.35" hidden="false" customHeight="false" outlineLevel="0" collapsed="false">
      <c r="A1" s="1" t="s">
        <v>18</v>
      </c>
    </row>
    <row r="2" customFormat="false" ht="15" hidden="false" customHeight="false" outlineLevel="0" collapsed="false">
      <c r="A2" s="5" t="s">
        <v>19</v>
      </c>
    </row>
    <row r="4" customFormat="false" ht="15" hidden="false" customHeight="false" outlineLevel="0" collapsed="false">
      <c r="A4" s="6" t="s">
        <v>20</v>
      </c>
    </row>
    <row r="5" customFormat="false" ht="15" hidden="false" customHeight="false" outlineLevel="0" collapsed="false">
      <c r="A5" s="7" t="s">
        <v>21</v>
      </c>
      <c r="B5" s="7" t="s">
        <v>22</v>
      </c>
    </row>
    <row r="6" customFormat="false" ht="15" hidden="false" customHeight="false" outlineLevel="0" collapsed="false">
      <c r="A6" s="8" t="s">
        <v>23</v>
      </c>
      <c r="B6" s="9" t="n">
        <f aca="false">Gini_T4_2024!C269</f>
        <v>0.330570674286004</v>
      </c>
    </row>
    <row r="7" customFormat="false" ht="15" hidden="false" customHeight="false" outlineLevel="0" collapsed="false">
      <c r="A7" s="8" t="s">
        <v>24</v>
      </c>
      <c r="B7" s="9" t="n">
        <f aca="false">Gini_T4_2025!C225</f>
        <v>0.335805392397216</v>
      </c>
    </row>
    <row r="8" customFormat="false" ht="15" hidden="false" customHeight="false" outlineLevel="0" collapsed="false">
      <c r="A8" s="3" t="s">
        <v>25</v>
      </c>
      <c r="B8" s="10" t="n">
        <f aca="false">B7-B6</f>
        <v>0.00523471811121157</v>
      </c>
    </row>
    <row r="11" customFormat="false" ht="15" hidden="false" customHeight="false" outlineLevel="0" collapsed="false">
      <c r="A11" s="6" t="s">
        <v>26</v>
      </c>
    </row>
    <row r="12" customFormat="false" ht="15" hidden="false" customHeight="false" outlineLevel="0" collapsed="false">
      <c r="A12" s="7" t="s">
        <v>27</v>
      </c>
      <c r="B12" s="7" t="s">
        <v>28</v>
      </c>
      <c r="C12" s="7" t="s">
        <v>29</v>
      </c>
      <c r="D12" s="7" t="s">
        <v>25</v>
      </c>
    </row>
    <row r="13" customFormat="false" ht="15" hidden="false" customHeight="false" outlineLevel="0" collapsed="false">
      <c r="A13" s="8" t="s">
        <v>30</v>
      </c>
      <c r="B13" s="11" t="n">
        <f aca="false">Deciles_T4_2024!C16</f>
        <v>8.77540451954009</v>
      </c>
      <c r="C13" s="11" t="n">
        <f aca="false">Deciles_T4_2025!C16</f>
        <v>9.82759069749264</v>
      </c>
      <c r="D13" s="12" t="n">
        <f aca="false">C13-B13</f>
        <v>1.05218617795255</v>
      </c>
    </row>
    <row r="14" customFormat="false" ht="15" hidden="false" customHeight="false" outlineLevel="0" collapsed="false">
      <c r="A14" s="8" t="s">
        <v>31</v>
      </c>
      <c r="B14" s="11" t="n">
        <f aca="false">Deciles_T4_2024!C17</f>
        <v>5.1393581031094</v>
      </c>
      <c r="C14" s="11" t="n">
        <f aca="false">Deciles_T4_2025!C17</f>
        <v>6.46776645604158</v>
      </c>
      <c r="D14" s="12" t="n">
        <f aca="false">C14-B14</f>
        <v>1.32840835293217</v>
      </c>
    </row>
    <row r="15" customFormat="false" ht="15" hidden="false" customHeight="false" outlineLevel="0" collapsed="false">
      <c r="A15" s="8" t="s">
        <v>32</v>
      </c>
      <c r="B15" s="11" t="n">
        <f aca="false">Deciles_T4_2024!C18</f>
        <v>3.48079861353035</v>
      </c>
      <c r="C15" s="11" t="n">
        <f aca="false">Deciles_T4_2025!C18</f>
        <v>3.06765401877967</v>
      </c>
      <c r="D15" s="12" t="n">
        <f aca="false">C15-B15</f>
        <v>-0.413144594750681</v>
      </c>
    </row>
    <row r="16" customFormat="false" ht="15" hidden="false" customHeight="false" outlineLevel="0" collapsed="false">
      <c r="A16" s="8" t="s">
        <v>33</v>
      </c>
      <c r="B16" s="13" t="n">
        <f aca="false">Deciles_T4_2024!C19</f>
        <v>0.262257588870792</v>
      </c>
      <c r="C16" s="13" t="n">
        <f aca="false">Deciles_T4_2025!C19</f>
        <v>0.247037466345807</v>
      </c>
      <c r="D16" s="14" t="n">
        <f aca="false">C16-B16</f>
        <v>-0.015220122524985</v>
      </c>
    </row>
    <row r="17" customFormat="false" ht="15" hidden="false" customHeight="false" outlineLevel="0" collapsed="false">
      <c r="A17" s="8" t="s">
        <v>34</v>
      </c>
      <c r="B17" s="13" t="n">
        <f aca="false">Deciles_T4_2024!C20</f>
        <v>0.0290149871917991</v>
      </c>
      <c r="C17" s="13" t="n">
        <f aca="false">Deciles_T4_2025!C20</f>
        <v>0.0246004049057018</v>
      </c>
      <c r="D17" s="14" t="n">
        <f aca="false">C17-B17</f>
        <v>-0.00441458228609729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c r="A30" s="2" t="s">
        <v>35</v>
      </c>
    </row>
    <row r="31" customFormat="false" ht="15.75" hidden="false" customHeight="true" outlineLevel="0" collapsed="false">
      <c r="A31" s="15" t="s">
        <v>36</v>
      </c>
      <c r="B31" s="15" t="s">
        <v>37</v>
      </c>
      <c r="C31" s="15" t="s">
        <v>38</v>
      </c>
      <c r="D31" s="15" t="s">
        <v>39</v>
      </c>
      <c r="E31" s="15" t="s">
        <v>40</v>
      </c>
    </row>
    <row r="32" customFormat="false" ht="15.75" hidden="false" customHeight="true" outlineLevel="0" collapsed="false">
      <c r="A32" s="16" t="n">
        <v>0</v>
      </c>
      <c r="B32" s="16" t="n">
        <v>0</v>
      </c>
      <c r="C32" s="16" t="n">
        <v>0</v>
      </c>
      <c r="D32" s="16" t="n">
        <v>0</v>
      </c>
      <c r="E32" s="16" t="n">
        <v>0</v>
      </c>
    </row>
    <row r="33" customFormat="false" ht="15.75" hidden="false" customHeight="true" outlineLevel="0" collapsed="false">
      <c r="A33" s="16" t="n">
        <v>1</v>
      </c>
      <c r="B33" s="17" t="n">
        <v>0.1</v>
      </c>
      <c r="C33" s="18" t="n">
        <f aca="false">SUM(Deciles_T4_2024!$E$2)</f>
        <v>0.0290149871917991</v>
      </c>
      <c r="D33" s="18" t="n">
        <f aca="false">SUM(Deciles_T4_2025!$E$2)</f>
        <v>0.0246004049057018</v>
      </c>
      <c r="E33" s="17" t="n">
        <v>0.1</v>
      </c>
    </row>
    <row r="34" customFormat="false" ht="15.75" hidden="false" customHeight="true" outlineLevel="0" collapsed="false">
      <c r="A34" s="16" t="n">
        <v>2</v>
      </c>
      <c r="B34" s="17" t="n">
        <v>0.2</v>
      </c>
      <c r="C34" s="18" t="n">
        <f aca="false">SUM(Deciles_T4_2024!$E$2:$E$3)</f>
        <v>0.0727133534179037</v>
      </c>
      <c r="D34" s="18" t="n">
        <f aca="false">SUM(Deciles_T4_2025!$E$2:$E$3)</f>
        <v>0.063940608815266</v>
      </c>
      <c r="E34" s="17" t="n">
        <v>0.2</v>
      </c>
    </row>
    <row r="35" customFormat="false" ht="15.75" hidden="false" customHeight="true" outlineLevel="0" collapsed="false">
      <c r="A35" s="16" t="n">
        <v>3</v>
      </c>
      <c r="B35" s="17" t="n">
        <v>0.3</v>
      </c>
      <c r="C35" s="18" t="n">
        <f aca="false">SUM(Deciles_T4_2024!$E$2:$E$4)</f>
        <v>0.135757076403313</v>
      </c>
      <c r="D35" s="18" t="n">
        <f aca="false">SUM(Deciles_T4_2025!$E$2:$E$4)</f>
        <v>0.119595230250875</v>
      </c>
      <c r="E35" s="17" t="n">
        <v>0.3</v>
      </c>
    </row>
    <row r="36" customFormat="false" ht="15.75" hidden="false" customHeight="true" outlineLevel="0" collapsed="false">
      <c r="A36" s="16" t="n">
        <v>4</v>
      </c>
      <c r="B36" s="17" t="n">
        <v>0.4</v>
      </c>
      <c r="C36" s="18" t="n">
        <f aca="false">SUM(Deciles_T4_2024!$E$2:$E$5)</f>
        <v>0.197890008652448</v>
      </c>
      <c r="D36" s="18" t="n">
        <f aca="false">SUM(Deciles_T4_2025!$E$2:$E$5)</f>
        <v>0.188058602843836</v>
      </c>
      <c r="E36" s="17" t="n">
        <v>0.4</v>
      </c>
    </row>
    <row r="37" customFormat="false" ht="15.75" hidden="false" customHeight="true" outlineLevel="0" collapsed="false">
      <c r="A37" s="16" t="n">
        <v>5</v>
      </c>
      <c r="B37" s="17" t="n">
        <v>0.5</v>
      </c>
      <c r="C37" s="18" t="n">
        <f aca="false">SUM(Deciles_T4_2024!$E$2:$E$6)</f>
        <v>0.27542311726758</v>
      </c>
      <c r="D37" s="18" t="n">
        <f aca="false">SUM(Deciles_T4_2025!$E$2:$E$6)</f>
        <v>0.261181245791866</v>
      </c>
      <c r="E37" s="17" t="n">
        <v>0.5</v>
      </c>
    </row>
    <row r="38" customFormat="false" ht="15.75" hidden="false" customHeight="true" outlineLevel="0" collapsed="false">
      <c r="A38" s="16" t="n">
        <v>6</v>
      </c>
      <c r="B38" s="17" t="n">
        <v>0.6</v>
      </c>
      <c r="C38" s="18" t="n">
        <f aca="false">SUM(Deciles_T4_2024!$E$2:$E$7)</f>
        <v>0.36199815572479</v>
      </c>
      <c r="D38" s="18" t="n">
        <f aca="false">SUM(Deciles_T4_2025!$E$2:$E$7)</f>
        <v>0.351729378761962</v>
      </c>
      <c r="E38" s="17" t="n">
        <v>0.6</v>
      </c>
    </row>
    <row r="39" customFormat="false" ht="15.75" hidden="false" customHeight="true" outlineLevel="0" collapsed="false">
      <c r="A39" s="16" t="n">
        <v>7</v>
      </c>
      <c r="B39" s="17" t="n">
        <v>0.7</v>
      </c>
      <c r="C39" s="18" t="n">
        <f aca="false">SUM(Deciles_T4_2024!$E$2:$E$8)</f>
        <v>0.46428293480861</v>
      </c>
      <c r="D39" s="18" t="n">
        <f aca="false">SUM(Deciles_T4_2025!$E$2:$E$8)</f>
        <v>0.464490900041713</v>
      </c>
      <c r="E39" s="17" t="n">
        <v>0.7</v>
      </c>
    </row>
    <row r="40" customFormat="false" ht="15.75" hidden="false" customHeight="true" outlineLevel="0" collapsed="false">
      <c r="A40" s="16" t="n">
        <v>8</v>
      </c>
      <c r="B40" s="17" t="n">
        <v>0.8</v>
      </c>
      <c r="C40" s="18" t="n">
        <f aca="false">SUM(Deciles_T4_2024!$E$2:$E$9)</f>
        <v>0.585637460745374</v>
      </c>
      <c r="D40" s="18" t="n">
        <f aca="false">SUM(Deciles_T4_2025!$E$2:$E$9)</f>
        <v>0.595018070341033</v>
      </c>
      <c r="E40" s="17" t="n">
        <v>0.8</v>
      </c>
    </row>
    <row r="41" customFormat="false" ht="15.75" hidden="false" customHeight="true" outlineLevel="0" collapsed="false">
      <c r="A41" s="16" t="n">
        <v>9</v>
      </c>
      <c r="B41" s="17" t="n">
        <v>0.9</v>
      </c>
      <c r="C41" s="18" t="n">
        <f aca="false">SUM(Deciles_T4_2024!$E$2:$E$10)</f>
        <v>0.737742411129208</v>
      </c>
      <c r="D41" s="18" t="n">
        <f aca="false">SUM(Deciles_T4_2025!$E$2:$E$10)</f>
        <v>0.752962533654193</v>
      </c>
      <c r="E41" s="17" t="n">
        <v>0.9</v>
      </c>
    </row>
    <row r="42" customFormat="false" ht="15.75" hidden="false" customHeight="true" outlineLevel="0" collapsed="false">
      <c r="A42" s="16" t="n">
        <v>10</v>
      </c>
      <c r="B42" s="17" t="n">
        <v>1</v>
      </c>
      <c r="C42" s="18" t="n">
        <f aca="false">SUM(Deciles_T4_2024!$E$2:$E$11)</f>
        <v>1</v>
      </c>
      <c r="D42" s="18" t="n">
        <f aca="false">SUM(Deciles_T4_2025!$E$2:$E$11)</f>
        <v>1</v>
      </c>
      <c r="E42" s="17" t="n">
        <v>1</v>
      </c>
    </row>
    <row r="43" customFormat="false" ht="15.75" hidden="false" customHeight="true" outlineLevel="0" collapsed="false"/>
    <row r="44" customFormat="false" ht="15.75" hidden="false" customHeight="true" outlineLevel="0" collapsed="false">
      <c r="A44" s="2" t="s">
        <v>41</v>
      </c>
    </row>
    <row r="45" customFormat="false" ht="15.75" hidden="false" customHeight="true" outlineLevel="0" collapsed="false">
      <c r="A45" s="15" t="s">
        <v>42</v>
      </c>
      <c r="B45" s="15" t="s">
        <v>28</v>
      </c>
      <c r="C45" s="15" t="s">
        <v>29</v>
      </c>
    </row>
    <row r="46" customFormat="false" ht="15.75" hidden="false" customHeight="true" outlineLevel="0" collapsed="false">
      <c r="A46" s="16" t="n">
        <v>1</v>
      </c>
      <c r="B46" s="19" t="n">
        <f aca="false">Deciles_T4_2024!D2</f>
        <v>99450.647246865</v>
      </c>
      <c r="C46" s="19" t="n">
        <f aca="false">Deciles_T4_2025!D2</f>
        <v>109085.179440235</v>
      </c>
    </row>
    <row r="47" customFormat="false" ht="15.75" hidden="false" customHeight="true" outlineLevel="0" collapsed="false">
      <c r="A47" s="16" t="n">
        <v>2</v>
      </c>
      <c r="B47" s="19" t="n">
        <f aca="false">Deciles_T4_2024!D3</f>
        <v>156387.49313648</v>
      </c>
      <c r="C47" s="19" t="n">
        <f aca="false">Deciles_T4_2025!D3</f>
        <v>184462.701233655</v>
      </c>
    </row>
    <row r="48" customFormat="false" ht="15.75" hidden="false" customHeight="true" outlineLevel="0" collapsed="false">
      <c r="A48" s="16" t="n">
        <v>3</v>
      </c>
      <c r="B48" s="19" t="n">
        <f aca="false">Deciles_T4_2024!D4</f>
        <v>197580.345095354</v>
      </c>
      <c r="C48" s="19" t="n">
        <f aca="false">Deciles_T4_2025!D4</f>
        <v>243511.784474921</v>
      </c>
    </row>
    <row r="49" customFormat="false" ht="15.75" hidden="false" customHeight="true" outlineLevel="0" collapsed="false">
      <c r="A49" s="16" t="n">
        <v>4</v>
      </c>
      <c r="B49" s="19" t="n">
        <f aca="false">Deciles_T4_2024!D5</f>
        <v>221641.507301065</v>
      </c>
      <c r="C49" s="19" t="n">
        <f aca="false">Deciles_T4_2025!D5</f>
        <v>291700.117802342</v>
      </c>
    </row>
    <row r="50" customFormat="false" ht="15.75" hidden="false" customHeight="true" outlineLevel="0" collapsed="false">
      <c r="A50" s="16" t="n">
        <v>5</v>
      </c>
      <c r="B50" s="19" t="n">
        <f aca="false">Deciles_T4_2024!D6</f>
        <v>250723.973495319</v>
      </c>
      <c r="C50" s="19" t="n">
        <f aca="false">Deciles_T4_2025!D6</f>
        <v>349467.211145159</v>
      </c>
    </row>
    <row r="51" customFormat="false" ht="15.75" hidden="false" customHeight="true" outlineLevel="0" collapsed="false">
      <c r="A51" s="16" t="n">
        <v>6</v>
      </c>
      <c r="B51" s="19" t="n">
        <f aca="false">Deciles_T4_2024!D7</f>
        <v>297041.402101305</v>
      </c>
      <c r="C51" s="19" t="n">
        <f aca="false">Deciles_T4_2025!D7</f>
        <v>397317.727486961</v>
      </c>
    </row>
    <row r="52" customFormat="false" ht="15.75" hidden="false" customHeight="true" outlineLevel="0" collapsed="false">
      <c r="A52" s="16" t="n">
        <v>7</v>
      </c>
      <c r="B52" s="19" t="n">
        <f aca="false">Deciles_T4_2024!D8</f>
        <v>347677.724982656</v>
      </c>
      <c r="C52" s="19" t="n">
        <f aca="false">Deciles_T4_2025!D8</f>
        <v>479657.616479654</v>
      </c>
    </row>
    <row r="53" customFormat="false" ht="15.75" hidden="false" customHeight="true" outlineLevel="0" collapsed="false">
      <c r="A53" s="16" t="n">
        <v>8</v>
      </c>
      <c r="B53" s="19" t="n">
        <f aca="false">Deciles_T4_2024!D9</f>
        <v>398599.889863194</v>
      </c>
      <c r="C53" s="19" t="n">
        <f aca="false">Deciles_T4_2025!D9</f>
        <v>565244.587476552</v>
      </c>
    </row>
    <row r="54" customFormat="false" ht="15.75" hidden="false" customHeight="true" outlineLevel="0" collapsed="false">
      <c r="A54" s="16" t="n">
        <v>9</v>
      </c>
      <c r="B54" s="19" t="n">
        <f aca="false">Deciles_T4_2024!D10</f>
        <v>511112.48978765</v>
      </c>
      <c r="C54" s="19" t="n">
        <f aca="false">Deciles_T4_2025!D10</f>
        <v>705537.464434829</v>
      </c>
    </row>
    <row r="55" customFormat="false" ht="15.75" hidden="false" customHeight="true" outlineLevel="0" collapsed="false">
      <c r="A55" s="16" t="n">
        <v>10</v>
      </c>
      <c r="B55" s="19" t="n">
        <f aca="false">Deciles_T4_2024!D11</f>
        <v>872719.659321326</v>
      </c>
      <c r="C55" s="19" t="n">
        <f aca="false">Deciles_T4_2025!D11</f>
        <v>1072044.49470117</v>
      </c>
    </row>
    <row r="56" customFormat="false" ht="15.75" hidden="false" customHeight="true" outlineLevel="0" collapsed="false"/>
    <row r="57" customFormat="false" ht="15.75" hidden="false" customHeight="true" outlineLevel="0" collapsed="false">
      <c r="A57" s="15" t="s">
        <v>43</v>
      </c>
      <c r="B57" s="15" t="s">
        <v>22</v>
      </c>
    </row>
    <row r="58" customFormat="false" ht="15.75" hidden="false" customHeight="true" outlineLevel="0" collapsed="false">
      <c r="A58" s="16" t="s">
        <v>28</v>
      </c>
      <c r="B58" s="20" t="n">
        <f aca="false">B6</f>
        <v>0.330570674286004</v>
      </c>
    </row>
    <row r="59" customFormat="false" ht="15.75" hidden="false" customHeight="true" outlineLevel="0" collapsed="false">
      <c r="A59" s="16" t="s">
        <v>29</v>
      </c>
      <c r="B59" s="20" t="n">
        <f aca="false">B7</f>
        <v>0.335805392397216</v>
      </c>
    </row>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30"/>
    <col collapsed="false" customWidth="true" hidden="false" outlineLevel="0" max="4" min="4" style="0" width="16"/>
  </cols>
  <sheetData>
    <row r="1" customFormat="false" ht="17.35" hidden="false" customHeight="false" outlineLevel="0" collapsed="false">
      <c r="A1" s="21" t="s">
        <v>44</v>
      </c>
    </row>
    <row r="2" customFormat="false" ht="15" hidden="false" customHeight="false" outlineLevel="0" collapsed="false">
      <c r="A2" s="22" t="s">
        <v>45</v>
      </c>
    </row>
    <row r="4" customFormat="false" ht="15" hidden="false" customHeight="false" outlineLevel="0" collapsed="false">
      <c r="A4" s="23" t="s">
        <v>46</v>
      </c>
    </row>
    <row r="5" customFormat="false" ht="23.85" hidden="false" customHeight="false" outlineLevel="0" collapsed="false">
      <c r="A5" s="24" t="s">
        <v>21</v>
      </c>
      <c r="B5" s="24" t="s">
        <v>47</v>
      </c>
      <c r="C5" s="24" t="s">
        <v>48</v>
      </c>
      <c r="D5" s="24" t="s">
        <v>49</v>
      </c>
    </row>
    <row r="6" customFormat="false" ht="15" hidden="false" customHeight="false" outlineLevel="0" collapsed="false">
      <c r="A6" s="22" t="s">
        <v>23</v>
      </c>
      <c r="B6" s="25" t="n">
        <f aca="false">Resumen!B6</f>
        <v>0.330570674286004</v>
      </c>
      <c r="C6" s="25" t="n">
        <v>0.43</v>
      </c>
      <c r="D6" s="25" t="n">
        <f aca="false">B6-C6</f>
        <v>-0.0994293257139957</v>
      </c>
    </row>
    <row r="7" customFormat="false" ht="15" hidden="false" customHeight="false" outlineLevel="0" collapsed="false">
      <c r="A7" s="22" t="s">
        <v>24</v>
      </c>
      <c r="B7" s="25" t="n">
        <f aca="false">Resumen!B7</f>
        <v>0.335805392397216</v>
      </c>
      <c r="C7" s="25" t="n">
        <v>0.427</v>
      </c>
      <c r="D7" s="25" t="n">
        <f aca="false">B7-C7</f>
        <v>-0.0911946076027841</v>
      </c>
    </row>
    <row r="9" customFormat="false" ht="15" hidden="false" customHeight="true" outlineLevel="0" collapsed="false">
      <c r="A9" s="26" t="s">
        <v>50</v>
      </c>
      <c r="B9" s="26"/>
      <c r="C9" s="26"/>
      <c r="D9" s="26"/>
    </row>
    <row r="10" customFormat="false" ht="15" hidden="false" customHeight="false" outlineLevel="0" collapsed="false">
      <c r="A10" s="26"/>
      <c r="B10" s="26"/>
      <c r="C10" s="26"/>
      <c r="D10" s="26"/>
    </row>
    <row r="12" customFormat="false" ht="15" hidden="false" customHeight="false" outlineLevel="0" collapsed="false">
      <c r="A12" s="23" t="s">
        <v>51</v>
      </c>
    </row>
    <row r="13" customFormat="false" ht="45" hidden="false" customHeight="true" outlineLevel="0" collapsed="false">
      <c r="A13" s="24" t="s">
        <v>52</v>
      </c>
      <c r="B13" s="24" t="s">
        <v>53</v>
      </c>
      <c r="C13" s="24" t="s">
        <v>54</v>
      </c>
      <c r="D13" s="24" t="s">
        <v>49</v>
      </c>
    </row>
    <row r="14" customFormat="false" ht="15" hidden="false" customHeight="false" outlineLevel="0" collapsed="false">
      <c r="A14" s="22" t="s">
        <v>55</v>
      </c>
      <c r="B14" s="25" t="n">
        <f aca="false">Resumen!B6</f>
        <v>0.330570674286004</v>
      </c>
      <c r="C14" s="25" t="n">
        <v>0.421</v>
      </c>
      <c r="D14" s="25" t="n">
        <f aca="false">B14-C14</f>
        <v>-0.0904293257139957</v>
      </c>
    </row>
    <row r="15" customFormat="false" ht="15" hidden="false" customHeight="false" outlineLevel="0" collapsed="false">
      <c r="A15" s="22" t="s">
        <v>56</v>
      </c>
      <c r="B15" s="25" t="n">
        <f aca="false">Resumen!B7</f>
        <v>0.335805392397216</v>
      </c>
      <c r="C15" s="25" t="n">
        <v>0.351</v>
      </c>
      <c r="D15" s="25" t="n">
        <f aca="false">B15-C15</f>
        <v>-0.0151946076027841</v>
      </c>
    </row>
    <row r="17" customFormat="false" ht="15" hidden="false" customHeight="true" outlineLevel="0" collapsed="false">
      <c r="A17" s="26" t="s">
        <v>57</v>
      </c>
      <c r="B17" s="26"/>
      <c r="C17" s="26"/>
      <c r="D17" s="26"/>
    </row>
    <row r="18" customFormat="false" ht="15" hidden="false" customHeight="false" outlineLevel="0" collapsed="false">
      <c r="A18" s="26"/>
      <c r="B18" s="26"/>
      <c r="C18" s="26"/>
      <c r="D18" s="26"/>
    </row>
    <row r="19" customFormat="false" ht="15" hidden="false" customHeight="false" outlineLevel="0" collapsed="false">
      <c r="A19" s="26"/>
      <c r="B19" s="26"/>
      <c r="C19" s="26"/>
      <c r="D19" s="26"/>
    </row>
    <row r="21" customFormat="false" ht="15" hidden="false" customHeight="false" outlineLevel="0" collapsed="false">
      <c r="A21" s="23" t="s">
        <v>58</v>
      </c>
    </row>
    <row r="22" customFormat="false" ht="15" hidden="false" customHeight="true" outlineLevel="0" collapsed="false">
      <c r="A22" s="27" t="s">
        <v>59</v>
      </c>
      <c r="B22" s="27"/>
      <c r="C22" s="27"/>
      <c r="D22" s="27"/>
    </row>
    <row r="23" customFormat="false" ht="15" hidden="false" customHeight="false" outlineLevel="0" collapsed="false">
      <c r="A23" s="27"/>
      <c r="B23" s="27"/>
      <c r="C23" s="27"/>
      <c r="D23" s="27"/>
    </row>
    <row r="25" customFormat="false" ht="15" hidden="false" customHeight="true" outlineLevel="0" collapsed="false">
      <c r="A25" s="27" t="s">
        <v>60</v>
      </c>
      <c r="B25" s="27"/>
      <c r="C25" s="27"/>
      <c r="D25" s="27"/>
    </row>
    <row r="26" customFormat="false" ht="15" hidden="false" customHeight="false" outlineLevel="0" collapsed="false">
      <c r="A26" s="27"/>
      <c r="B26" s="27"/>
      <c r="C26" s="27"/>
      <c r="D26" s="27"/>
    </row>
    <row r="28" customFormat="false" ht="15" hidden="false" customHeight="true" outlineLevel="0" collapsed="false">
      <c r="A28" s="27" t="s">
        <v>61</v>
      </c>
      <c r="B28" s="27"/>
      <c r="C28" s="27"/>
      <c r="D28" s="27"/>
    </row>
    <row r="29" customFormat="false" ht="15" hidden="false" customHeight="false" outlineLevel="0" collapsed="false">
      <c r="A29" s="27"/>
      <c r="B29" s="27"/>
      <c r="C29" s="27"/>
      <c r="D29" s="27"/>
    </row>
    <row r="31" customFormat="false" ht="15" hidden="false" customHeight="true" outlineLevel="0" collapsed="false">
      <c r="A31" s="27" t="s">
        <v>62</v>
      </c>
      <c r="B31" s="27"/>
      <c r="C31" s="27"/>
      <c r="D31" s="27"/>
    </row>
    <row r="32" customFormat="false" ht="15" hidden="false" customHeight="false" outlineLevel="0" collapsed="false">
      <c r="A32" s="27"/>
      <c r="B32" s="27"/>
      <c r="C32" s="27"/>
      <c r="D32" s="27"/>
    </row>
  </sheetData>
  <mergeCells count="6">
    <mergeCell ref="A9:D10"/>
    <mergeCell ref="A17:D19"/>
    <mergeCell ref="A22:D23"/>
    <mergeCell ref="A25:D26"/>
    <mergeCell ref="A28:D29"/>
    <mergeCell ref="A31: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0" width="14.29"/>
    <col collapsed="false" customWidth="true" hidden="false" outlineLevel="0" max="2" min="2" style="0" width="17.43"/>
    <col collapsed="false" customWidth="true" hidden="false" outlineLevel="0" max="3" min="3" style="0" width="21.43"/>
    <col collapsed="false" customWidth="true" hidden="false" outlineLevel="0" max="4" min="4" style="0" width="19.14"/>
    <col collapsed="false" customWidth="true" hidden="false" outlineLevel="0" max="5" min="5" style="0" width="18.86"/>
    <col collapsed="false" customWidth="true" hidden="false" outlineLevel="0" max="7" min="6" style="0" width="19.14"/>
    <col collapsed="false" customWidth="true" hidden="false" outlineLevel="0" max="8" min="8" style="0" width="19.57"/>
    <col collapsed="false" customWidth="true" hidden="false" outlineLevel="0" max="9" min="9" style="0" width="19.43"/>
    <col collapsed="false" customWidth="true" hidden="false" outlineLevel="0" max="26" min="10" style="0" width="8.71"/>
  </cols>
  <sheetData>
    <row r="1" customFormat="false" ht="31.5" hidden="false" customHeight="true" outlineLevel="0" collapsed="false">
      <c r="A1" s="28" t="s">
        <v>2</v>
      </c>
      <c r="B1" s="28" t="s">
        <v>63</v>
      </c>
      <c r="C1" s="28" t="s">
        <v>64</v>
      </c>
      <c r="D1" s="28" t="s">
        <v>65</v>
      </c>
      <c r="E1" s="28" t="s">
        <v>66</v>
      </c>
      <c r="F1" s="28" t="s">
        <v>67</v>
      </c>
      <c r="G1" s="28" t="s">
        <v>68</v>
      </c>
      <c r="H1" s="28" t="s">
        <v>69</v>
      </c>
      <c r="I1" s="28" t="s">
        <v>70</v>
      </c>
    </row>
    <row r="2" customFormat="false" ht="22.5" hidden="false" customHeight="true" outlineLevel="0" collapsed="false">
      <c r="A2" s="29" t="n">
        <v>0</v>
      </c>
      <c r="B2" s="29" t="n">
        <v>0</v>
      </c>
      <c r="C2" s="29" t="n">
        <v>0</v>
      </c>
      <c r="D2" s="29" t="n">
        <v>0</v>
      </c>
      <c r="E2" s="29" t="n">
        <v>0</v>
      </c>
      <c r="F2" s="30" t="n">
        <v>0</v>
      </c>
      <c r="G2" s="30" t="n">
        <v>0</v>
      </c>
      <c r="H2" s="31" t="n">
        <v>0</v>
      </c>
      <c r="I2" s="32" t="n">
        <v>0</v>
      </c>
    </row>
    <row r="3" customFormat="false" ht="22.5" hidden="false" customHeight="true" outlineLevel="0" collapsed="false">
      <c r="A3" s="29" t="n">
        <v>53166.67</v>
      </c>
      <c r="B3" s="29" t="n">
        <v>2340</v>
      </c>
      <c r="C3" s="29" t="n">
        <f aca="false">A3*B3</f>
        <v>124410007.8</v>
      </c>
      <c r="D3" s="29" t="n">
        <f aca="false">SUM($B$3:B3)</f>
        <v>2340</v>
      </c>
      <c r="E3" s="29" t="n">
        <f aca="false">SUM($C$3:C3)</f>
        <v>124410007.8</v>
      </c>
      <c r="F3" s="30" t="n">
        <f aca="false">D3/$D$266</f>
        <v>0.00595964252332283</v>
      </c>
      <c r="G3" s="30" t="n">
        <f aca="false">E3/$E$266</f>
        <v>0.000940432845403594</v>
      </c>
      <c r="H3" s="31" t="n">
        <f aca="false">(F3-F2)*(G3+G2)</f>
        <v>5.60464357579675E-006</v>
      </c>
      <c r="I3" s="32" t="n">
        <f aca="false">MIN(10,ROUNDUP(F3*10,0))</f>
        <v>1</v>
      </c>
    </row>
    <row r="4" customFormat="false" ht="22.5" hidden="false" customHeight="true" outlineLevel="0" collapsed="false">
      <c r="A4" s="29" t="n">
        <v>65428.57</v>
      </c>
      <c r="B4" s="29" t="n">
        <v>1995</v>
      </c>
      <c r="C4" s="29" t="n">
        <f aca="false">A4*B4</f>
        <v>130529997.15</v>
      </c>
      <c r="D4" s="29" t="n">
        <f aca="false">SUM($B$3:B4)</f>
        <v>4335</v>
      </c>
      <c r="E4" s="29" t="n">
        <f aca="false">SUM($C$3:C4)</f>
        <v>254940004.95</v>
      </c>
      <c r="F4" s="30" t="n">
        <f aca="false">D4/$D$266</f>
        <v>0.0110406198028224</v>
      </c>
      <c r="G4" s="30" t="n">
        <f aca="false">E4/$E$266</f>
        <v>0.00192712755590981</v>
      </c>
      <c r="H4" s="31" t="n">
        <f aca="false">(F4-F3)*(G4+G3)</f>
        <v>1.45700092466662E-005</v>
      </c>
      <c r="I4" s="32" t="n">
        <f aca="false">MIN(10,ROUNDUP(F4*10,0))</f>
        <v>1</v>
      </c>
    </row>
    <row r="5" customFormat="false" ht="22.5" hidden="false" customHeight="true" outlineLevel="0" collapsed="false">
      <c r="A5" s="29" t="n">
        <v>66666.67</v>
      </c>
      <c r="B5" s="29" t="n">
        <v>1128</v>
      </c>
      <c r="C5" s="29" t="n">
        <f aca="false">A5*B5</f>
        <v>75200003.76</v>
      </c>
      <c r="D5" s="29" t="n">
        <f aca="false">SUM($B$3:B5)</f>
        <v>5463</v>
      </c>
      <c r="E5" s="29" t="n">
        <f aca="false">SUM($C$3:C5)</f>
        <v>330140008.71</v>
      </c>
      <c r="F5" s="30" t="n">
        <f aca="false">D5/$D$266</f>
        <v>0.0139134731217575</v>
      </c>
      <c r="G5" s="30" t="n">
        <f aca="false">E5/$E$266</f>
        <v>0.00249557502055484</v>
      </c>
      <c r="H5" s="31" t="n">
        <f aca="false">(F5-F4)*(G5+G4)</f>
        <v>1.27057757754593E-005</v>
      </c>
      <c r="I5" s="32" t="n">
        <f aca="false">MIN(10,ROUNDUP(F5*10,0))</f>
        <v>1</v>
      </c>
    </row>
    <row r="6" customFormat="false" ht="22.5" hidden="false" customHeight="true" outlineLevel="0" collapsed="false">
      <c r="A6" s="29" t="n">
        <v>68333.33</v>
      </c>
      <c r="B6" s="29" t="n">
        <v>1233</v>
      </c>
      <c r="C6" s="29" t="n">
        <f aca="false">A6*B6</f>
        <v>84254995.89</v>
      </c>
      <c r="D6" s="29" t="n">
        <f aca="false">SUM($B$3:B6)</f>
        <v>6696</v>
      </c>
      <c r="E6" s="29" t="n">
        <f aca="false">SUM($C$3:C6)</f>
        <v>414395004.6</v>
      </c>
      <c r="F6" s="30" t="n">
        <f aca="false">D6/$D$266</f>
        <v>0.0170537462975084</v>
      </c>
      <c r="G6" s="30" t="n">
        <f aca="false">E6/$E$266</f>
        <v>0.00313247045144075</v>
      </c>
      <c r="H6" s="31" t="n">
        <f aca="false">(F6-F5)*(G6+G5)</f>
        <v>1.76736002276139E-005</v>
      </c>
      <c r="I6" s="32" t="n">
        <f aca="false">MIN(10,ROUNDUP(F6*10,0))</f>
        <v>1</v>
      </c>
    </row>
    <row r="7" customFormat="false" ht="22.5" hidden="false" customHeight="true" outlineLevel="0" collapsed="false">
      <c r="A7" s="29" t="n">
        <v>70000</v>
      </c>
      <c r="B7" s="29" t="n">
        <v>1868</v>
      </c>
      <c r="C7" s="29" t="n">
        <f aca="false">A7*B7</f>
        <v>130760000</v>
      </c>
      <c r="D7" s="29" t="n">
        <f aca="false">SUM($B$3:B7)</f>
        <v>8564</v>
      </c>
      <c r="E7" s="29" t="n">
        <f aca="false">SUM($C$3:C7)</f>
        <v>545155004.6</v>
      </c>
      <c r="F7" s="30" t="n">
        <f aca="false">D7/$D$266</f>
        <v>0.0218112728930499</v>
      </c>
      <c r="G7" s="30" t="n">
        <f aca="false">E7/$E$266</f>
        <v>0.00412090378602153</v>
      </c>
      <c r="H7" s="31" t="n">
        <f aca="false">(F7-F6)*(G7+G6)</f>
        <v>3.45081208421421E-005</v>
      </c>
      <c r="I7" s="32" t="n">
        <f aca="false">MIN(10,ROUNDUP(F7*10,0))</f>
        <v>1</v>
      </c>
    </row>
    <row r="8" customFormat="false" ht="22.5" hidden="false" customHeight="true" outlineLevel="0" collapsed="false">
      <c r="A8" s="29" t="n">
        <v>79500</v>
      </c>
      <c r="B8" s="29" t="n">
        <v>1428</v>
      </c>
      <c r="C8" s="29" t="n">
        <f aca="false">A8*B8</f>
        <v>113526000</v>
      </c>
      <c r="D8" s="29" t="n">
        <f aca="false">SUM($B$3:B8)</f>
        <v>9992</v>
      </c>
      <c r="E8" s="29" t="n">
        <f aca="false">SUM($C$3:C8)</f>
        <v>658681004.6</v>
      </c>
      <c r="F8" s="30" t="n">
        <f aca="false">D8/$D$266</f>
        <v>0.0254481829457443</v>
      </c>
      <c r="G8" s="30" t="n">
        <f aca="false">E8/$E$266</f>
        <v>0.00497906287704031</v>
      </c>
      <c r="H8" s="31" t="n">
        <f aca="false">(F8-F7)*(G8+G7)</f>
        <v>3.30957602360739E-005</v>
      </c>
      <c r="I8" s="32" t="n">
        <f aca="false">MIN(10,ROUNDUP(F8*10,0))</f>
        <v>1</v>
      </c>
    </row>
    <row r="9" customFormat="false" ht="22.5" hidden="false" customHeight="true" outlineLevel="0" collapsed="false">
      <c r="A9" s="29" t="n">
        <v>86000</v>
      </c>
      <c r="B9" s="29" t="n">
        <v>1023</v>
      </c>
      <c r="C9" s="29" t="n">
        <f aca="false">A9*B9</f>
        <v>87978000</v>
      </c>
      <c r="D9" s="29" t="n">
        <f aca="false">SUM($B$3:B9)</f>
        <v>11015</v>
      </c>
      <c r="E9" s="29" t="n">
        <f aca="false">SUM($C$3:C9)</f>
        <v>746659004.6</v>
      </c>
      <c r="F9" s="30" t="n">
        <f aca="false">D9/$D$266</f>
        <v>0.0280536164078637</v>
      </c>
      <c r="G9" s="30" t="n">
        <f aca="false">E9/$E$266</f>
        <v>0.00564410102257218</v>
      </c>
      <c r="H9" s="31" t="n">
        <f aca="false">(F9-F8)*(G9+G8)</f>
        <v>2.76779466976286E-005</v>
      </c>
      <c r="I9" s="32" t="n">
        <f aca="false">MIN(10,ROUNDUP(F9*10,0))</f>
        <v>1</v>
      </c>
    </row>
    <row r="10" customFormat="false" ht="22.5" hidden="false" customHeight="true" outlineLevel="0" collapsed="false">
      <c r="A10" s="29" t="n">
        <v>88403.5</v>
      </c>
      <c r="B10" s="29" t="n">
        <v>1862</v>
      </c>
      <c r="C10" s="29" t="n">
        <f aca="false">A10*B10</f>
        <v>164607317</v>
      </c>
      <c r="D10" s="29" t="n">
        <f aca="false">SUM($B$3:B10)</f>
        <v>12877</v>
      </c>
      <c r="E10" s="29" t="n">
        <f aca="false">SUM($C$3:C10)</f>
        <v>911266321.6</v>
      </c>
      <c r="F10" s="30" t="n">
        <f aca="false">D10/$D$266</f>
        <v>0.03279586186873</v>
      </c>
      <c r="G10" s="30" t="n">
        <f aca="false">E10/$E$266</f>
        <v>0.00688839101369106</v>
      </c>
      <c r="H10" s="31" t="n">
        <f aca="false">(F10-F9)*(G10+G9)</f>
        <v>5.94321534723122E-005</v>
      </c>
      <c r="I10" s="32" t="n">
        <f aca="false">MIN(10,ROUNDUP(F10*10,0))</f>
        <v>1</v>
      </c>
    </row>
    <row r="11" customFormat="false" ht="22.5" hidden="false" customHeight="true" outlineLevel="0" collapsed="false">
      <c r="A11" s="29" t="n">
        <v>90000</v>
      </c>
      <c r="B11" s="29" t="n">
        <v>3696</v>
      </c>
      <c r="C11" s="29" t="n">
        <f aca="false">A11*B11</f>
        <v>332640000</v>
      </c>
      <c r="D11" s="29" t="n">
        <f aca="false">SUM($B$3:B11)</f>
        <v>16573</v>
      </c>
      <c r="E11" s="29" t="n">
        <f aca="false">SUM($C$3:C11)</f>
        <v>1243906321.6</v>
      </c>
      <c r="F11" s="30" t="n">
        <f aca="false">D11/$D$266</f>
        <v>0.042209040828645</v>
      </c>
      <c r="G11" s="30" t="n">
        <f aca="false">E11/$E$266</f>
        <v>0.0094028638220036</v>
      </c>
      <c r="H11" s="31" t="n">
        <f aca="false">(F11-F10)*(G11+G10)</f>
        <v>0.000153352497249975</v>
      </c>
      <c r="I11" s="32" t="n">
        <f aca="false">MIN(10,ROUNDUP(F11*10,0))</f>
        <v>1</v>
      </c>
    </row>
    <row r="12" customFormat="false" ht="22.5" hidden="false" customHeight="true" outlineLevel="0" collapsed="false">
      <c r="A12" s="29" t="n">
        <v>93750</v>
      </c>
      <c r="B12" s="29" t="n">
        <v>1572</v>
      </c>
      <c r="C12" s="29" t="n">
        <f aca="false">A12*B12</f>
        <v>147375000</v>
      </c>
      <c r="D12" s="29" t="n">
        <f aca="false">SUM($B$3:B12)</f>
        <v>18145</v>
      </c>
      <c r="E12" s="29" t="n">
        <f aca="false">SUM($C$3:C12)</f>
        <v>1391281321.6</v>
      </c>
      <c r="F12" s="30" t="n">
        <f aca="false">D12/$D$266</f>
        <v>0.0462126981135439</v>
      </c>
      <c r="G12" s="30" t="n">
        <f aca="false">E12/$E$266</f>
        <v>0.0105168922915955</v>
      </c>
      <c r="H12" s="31" t="n">
        <f aca="false">(F12-F11)*(G12+G11)</f>
        <v>7.97518766776212E-005</v>
      </c>
      <c r="I12" s="32" t="n">
        <f aca="false">MIN(10,ROUNDUP(F12*10,0))</f>
        <v>1</v>
      </c>
    </row>
    <row r="13" customFormat="false" ht="22.5" hidden="false" customHeight="true" outlineLevel="0" collapsed="false">
      <c r="A13" s="29" t="n">
        <v>99000</v>
      </c>
      <c r="B13" s="29" t="n">
        <v>600</v>
      </c>
      <c r="C13" s="29" t="n">
        <f aca="false">A13*B13</f>
        <v>59400000</v>
      </c>
      <c r="D13" s="29" t="n">
        <f aca="false">SUM($B$3:B13)</f>
        <v>18745</v>
      </c>
      <c r="E13" s="29" t="n">
        <f aca="false">SUM($C$3:C13)</f>
        <v>1450681321.6</v>
      </c>
      <c r="F13" s="30" t="n">
        <f aca="false">D13/$D$266</f>
        <v>0.0477408115810626</v>
      </c>
      <c r="G13" s="30" t="n">
        <f aca="false">E13/$E$266</f>
        <v>0.0109659052930799</v>
      </c>
      <c r="H13" s="31" t="n">
        <f aca="false">(F13-F12)*(G13+G12)</f>
        <v>3.28281523091202E-005</v>
      </c>
      <c r="I13" s="32" t="n">
        <f aca="false">MIN(10,ROUNDUP(F13*10,0))</f>
        <v>1</v>
      </c>
    </row>
    <row r="14" customFormat="false" ht="22.5" hidden="false" customHeight="true" outlineLevel="0" collapsed="false">
      <c r="A14" s="29" t="n">
        <v>102125</v>
      </c>
      <c r="B14" s="29" t="n">
        <v>518</v>
      </c>
      <c r="C14" s="29" t="n">
        <f aca="false">A14*B14</f>
        <v>52900750</v>
      </c>
      <c r="D14" s="29" t="n">
        <f aca="false">SUM($B$3:B14)</f>
        <v>19263</v>
      </c>
      <c r="E14" s="29" t="n">
        <f aca="false">SUM($C$3:C14)</f>
        <v>1503582071.6</v>
      </c>
      <c r="F14" s="30" t="n">
        <f aca="false">D14/$D$266</f>
        <v>0.0490600828746871</v>
      </c>
      <c r="G14" s="30" t="n">
        <f aca="false">E14/$E$266</f>
        <v>0.011365789544566</v>
      </c>
      <c r="H14" s="31" t="n">
        <f aca="false">(F14-F13)*(G14+G13)</f>
        <v>2.94615639372877E-005</v>
      </c>
      <c r="I14" s="32" t="n">
        <f aca="false">MIN(10,ROUNDUP(F14*10,0))</f>
        <v>1</v>
      </c>
    </row>
    <row r="15" customFormat="false" ht="22.5" hidden="false" customHeight="true" outlineLevel="0" collapsed="false">
      <c r="A15" s="29" t="n">
        <v>105000</v>
      </c>
      <c r="B15" s="29" t="n">
        <v>570</v>
      </c>
      <c r="C15" s="29" t="n">
        <f aca="false">A15*B15</f>
        <v>59850000</v>
      </c>
      <c r="D15" s="29" t="n">
        <f aca="false">SUM($B$3:B15)</f>
        <v>19833</v>
      </c>
      <c r="E15" s="29" t="n">
        <f aca="false">SUM($C$3:C15)</f>
        <v>1563432071.6</v>
      </c>
      <c r="F15" s="30" t="n">
        <f aca="false">D15/$D$266</f>
        <v>0.0505117906688298</v>
      </c>
      <c r="G15" s="30" t="n">
        <f aca="false">E15/$E$266</f>
        <v>0.011818204159698</v>
      </c>
      <c r="H15" s="31" t="n">
        <f aca="false">(F15-F14)*(G15+G14)</f>
        <v>3.36563843598364E-005</v>
      </c>
      <c r="I15" s="32" t="n">
        <f aca="false">MIN(10,ROUNDUP(F15*10,0))</f>
        <v>1</v>
      </c>
    </row>
    <row r="16" customFormat="false" ht="22.5" hidden="false" customHeight="true" outlineLevel="0" collapsed="false">
      <c r="A16" s="29" t="n">
        <v>108572.75</v>
      </c>
      <c r="B16" s="29" t="n">
        <v>2376</v>
      </c>
      <c r="C16" s="29" t="n">
        <f aca="false">A16*B16</f>
        <v>257968854</v>
      </c>
      <c r="D16" s="29" t="n">
        <f aca="false">SUM($B$3:B16)</f>
        <v>22209</v>
      </c>
      <c r="E16" s="29" t="n">
        <f aca="false">SUM($C$3:C16)</f>
        <v>1821400925.6</v>
      </c>
      <c r="F16" s="30" t="n">
        <f aca="false">D16/$D$266</f>
        <v>0.0565631200002038</v>
      </c>
      <c r="G16" s="30" t="n">
        <f aca="false">E16/$E$266</f>
        <v>0.0137682272139746</v>
      </c>
      <c r="H16" s="31" t="n">
        <f aca="false">(F16-F15)*(G16+G15)</f>
        <v>0.000154831922656692</v>
      </c>
      <c r="I16" s="32" t="n">
        <f aca="false">MIN(10,ROUNDUP(F16*10,0))</f>
        <v>1</v>
      </c>
    </row>
    <row r="17" customFormat="false" ht="22.5" hidden="false" customHeight="true" outlineLevel="0" collapsed="false">
      <c r="A17" s="29" t="n">
        <v>108750</v>
      </c>
      <c r="B17" s="29" t="n">
        <v>1132</v>
      </c>
      <c r="C17" s="29" t="n">
        <f aca="false">A17*B17</f>
        <v>123105000</v>
      </c>
      <c r="D17" s="29" t="n">
        <f aca="false">SUM($B$3:B17)</f>
        <v>23341</v>
      </c>
      <c r="E17" s="29" t="n">
        <f aca="false">SUM($C$3:C17)</f>
        <v>1944505925.6</v>
      </c>
      <c r="F17" s="30" t="n">
        <f aca="false">D17/$D$266</f>
        <v>0.0594461607422557</v>
      </c>
      <c r="G17" s="30" t="n">
        <f aca="false">E17/$E$266</f>
        <v>0.0146987953208388</v>
      </c>
      <c r="H17" s="31" t="n">
        <f aca="false">(F17-F16)*(G17+G16)</f>
        <v>8.20715857727765E-005</v>
      </c>
      <c r="I17" s="32" t="n">
        <f aca="false">MIN(10,ROUNDUP(F17*10,0))</f>
        <v>1</v>
      </c>
    </row>
    <row r="18" customFormat="false" ht="22.5" hidden="false" customHeight="true" outlineLevel="0" collapsed="false">
      <c r="A18" s="29" t="n">
        <v>114600</v>
      </c>
      <c r="B18" s="29" t="n">
        <v>1560</v>
      </c>
      <c r="C18" s="29" t="n">
        <f aca="false">A18*B18</f>
        <v>178776000</v>
      </c>
      <c r="D18" s="29" t="n">
        <f aca="false">SUM($B$3:B18)</f>
        <v>24901</v>
      </c>
      <c r="E18" s="29" t="n">
        <f aca="false">SUM($C$3:C18)</f>
        <v>2123281925.6</v>
      </c>
      <c r="F18" s="30" t="n">
        <f aca="false">D18/$D$266</f>
        <v>0.0634192557578042</v>
      </c>
      <c r="G18" s="30" t="n">
        <f aca="false">E18/$E$266</f>
        <v>0.0160501883907609</v>
      </c>
      <c r="H18" s="31" t="n">
        <f aca="false">(F18-F17)*(G18+G17)</f>
        <v>0.00012216863391774</v>
      </c>
      <c r="I18" s="32" t="n">
        <f aca="false">MIN(10,ROUNDUP(F18*10,0))</f>
        <v>1</v>
      </c>
    </row>
    <row r="19" customFormat="false" ht="22.5" hidden="false" customHeight="true" outlineLevel="0" collapsed="false">
      <c r="A19" s="29" t="n">
        <v>118100</v>
      </c>
      <c r="B19" s="29" t="n">
        <v>1760</v>
      </c>
      <c r="C19" s="29" t="n">
        <f aca="false">A19*B19</f>
        <v>207856000</v>
      </c>
      <c r="D19" s="29" t="n">
        <f aca="false">SUM($B$3:B19)</f>
        <v>26661</v>
      </c>
      <c r="E19" s="29" t="n">
        <f aca="false">SUM($C$3:C19)</f>
        <v>2331137925.6</v>
      </c>
      <c r="F19" s="30" t="n">
        <f aca="false">D19/$D$266</f>
        <v>0.0679017219291923</v>
      </c>
      <c r="G19" s="30" t="n">
        <f aca="false">E19/$E$266</f>
        <v>0.0176214012937329</v>
      </c>
      <c r="H19" s="31" t="n">
        <f aca="false">(F19-F18)*(G19+G18)</f>
        <v>0.000150931761697604</v>
      </c>
      <c r="I19" s="32" t="n">
        <f aca="false">MIN(10,ROUNDUP(F19*10,0))</f>
        <v>1</v>
      </c>
    </row>
    <row r="20" customFormat="false" ht="22.5" hidden="false" customHeight="true" outlineLevel="0" collapsed="false">
      <c r="A20" s="29" t="n">
        <v>118571.43</v>
      </c>
      <c r="B20" s="29" t="n">
        <v>2268</v>
      </c>
      <c r="C20" s="29" t="n">
        <f aca="false">A20*B20</f>
        <v>268920003.24</v>
      </c>
      <c r="D20" s="29" t="n">
        <f aca="false">SUM($B$3:B20)</f>
        <v>28929</v>
      </c>
      <c r="E20" s="29" t="n">
        <f aca="false">SUM($C$3:C20)</f>
        <v>2600057928.84</v>
      </c>
      <c r="F20" s="30" t="n">
        <f aca="false">D20/$D$266</f>
        <v>0.0736779908364129</v>
      </c>
      <c r="G20" s="30" t="n">
        <f aca="false">E20/$E$266</f>
        <v>0.0196542056340356</v>
      </c>
      <c r="H20" s="31" t="n">
        <f aca="false">(F20-F19)*(G20+G19)</f>
        <v>0.000215313929294646</v>
      </c>
      <c r="I20" s="32" t="n">
        <f aca="false">MIN(10,ROUNDUP(F20*10,0))</f>
        <v>1</v>
      </c>
    </row>
    <row r="21" customFormat="false" ht="15.75" hidden="false" customHeight="true" outlineLevel="0" collapsed="false">
      <c r="A21" s="29" t="n">
        <v>125000</v>
      </c>
      <c r="B21" s="29" t="n">
        <v>1284</v>
      </c>
      <c r="C21" s="29" t="n">
        <f aca="false">A21*B21</f>
        <v>160500000</v>
      </c>
      <c r="D21" s="29" t="n">
        <f aca="false">SUM($B$3:B21)</f>
        <v>30213</v>
      </c>
      <c r="E21" s="29" t="n">
        <f aca="false">SUM($C$3:C21)</f>
        <v>2760557928.84</v>
      </c>
      <c r="F21" s="30" t="n">
        <f aca="false">D21/$D$266</f>
        <v>0.0769481536569029</v>
      </c>
      <c r="G21" s="30" t="n">
        <f aca="false">E21/$E$266</f>
        <v>0.0208674478350162</v>
      </c>
      <c r="H21" s="31" t="n">
        <f aca="false">(F21-F20)*(G21+G20)</f>
        <v>0.000132512404599271</v>
      </c>
      <c r="I21" s="32" t="n">
        <f aca="false">MIN(10,ROUNDUP(F21*10,0))</f>
        <v>1</v>
      </c>
    </row>
    <row r="22" customFormat="false" ht="15.75" hidden="false" customHeight="true" outlineLevel="0" collapsed="false">
      <c r="A22" s="29" t="n">
        <v>125227</v>
      </c>
      <c r="B22" s="29" t="n">
        <v>1000</v>
      </c>
      <c r="C22" s="29" t="n">
        <f aca="false">A22*B22</f>
        <v>125227000</v>
      </c>
      <c r="D22" s="29" t="n">
        <f aca="false">SUM($B$3:B22)</f>
        <v>31213</v>
      </c>
      <c r="E22" s="29" t="n">
        <f aca="false">SUM($C$3:C22)</f>
        <v>2885784928.84</v>
      </c>
      <c r="F22" s="30" t="n">
        <f aca="false">D22/$D$266</f>
        <v>0.0794950094361007</v>
      </c>
      <c r="G22" s="30" t="n">
        <f aca="false">E22/$E$266</f>
        <v>0.0218140564400142</v>
      </c>
      <c r="H22" s="31" t="n">
        <f aca="false">(F22-F21)*(G22+G21)</f>
        <v>0.000108703635827716</v>
      </c>
      <c r="I22" s="32" t="n">
        <f aca="false">MIN(10,ROUNDUP(F22*10,0))</f>
        <v>1</v>
      </c>
    </row>
    <row r="23" customFormat="false" ht="15.75" hidden="false" customHeight="true" outlineLevel="0" collapsed="false">
      <c r="A23" s="29" t="n">
        <v>126666.67</v>
      </c>
      <c r="B23" s="29" t="n">
        <v>2502</v>
      </c>
      <c r="C23" s="29" t="n">
        <f aca="false">A23*B23</f>
        <v>316920008.34</v>
      </c>
      <c r="D23" s="29" t="n">
        <f aca="false">SUM($B$3:B23)</f>
        <v>33715</v>
      </c>
      <c r="E23" s="29" t="n">
        <f aca="false">SUM($C$3:C23)</f>
        <v>3202704937.18</v>
      </c>
      <c r="F23" s="30" t="n">
        <f aca="false">D23/$D$266</f>
        <v>0.0858672425956535</v>
      </c>
      <c r="G23" s="30" t="n">
        <f aca="false">E23/$E$266</f>
        <v>0.0242096996079469</v>
      </c>
      <c r="H23" s="31" t="n">
        <f aca="false">(F23-F22)*(G23+G22)</f>
        <v>0.00029327410441599</v>
      </c>
      <c r="I23" s="32" t="n">
        <f aca="false">MIN(10,ROUNDUP(F23*10,0))</f>
        <v>1</v>
      </c>
    </row>
    <row r="24" customFormat="false" ht="15.75" hidden="false" customHeight="true" outlineLevel="0" collapsed="false">
      <c r="A24" s="29" t="n">
        <v>128613.8</v>
      </c>
      <c r="B24" s="29" t="n">
        <v>2845</v>
      </c>
      <c r="C24" s="29" t="n">
        <f aca="false">A24*B24</f>
        <v>365906261</v>
      </c>
      <c r="D24" s="29" t="n">
        <f aca="false">SUM($B$3:B24)</f>
        <v>36560</v>
      </c>
      <c r="E24" s="29" t="n">
        <f aca="false">SUM($C$3:C24)</f>
        <v>3568611198.18</v>
      </c>
      <c r="F24" s="30" t="n">
        <f aca="false">D24/$D$266</f>
        <v>0.0931130472874713</v>
      </c>
      <c r="G24" s="30" t="n">
        <f aca="false">E24/$E$266</f>
        <v>0.0269756367883095</v>
      </c>
      <c r="H24" s="31" t="n">
        <f aca="false">(F24-F23)*(G24+G23)</f>
        <v>0.000370878950612262</v>
      </c>
      <c r="I24" s="32" t="n">
        <f aca="false">MIN(10,ROUNDUP(F24*10,0))</f>
        <v>1</v>
      </c>
    </row>
    <row r="25" customFormat="false" ht="15.75" hidden="false" customHeight="true" outlineLevel="0" collapsed="false">
      <c r="A25" s="29" t="n">
        <v>132385</v>
      </c>
      <c r="B25" s="29" t="n">
        <v>1148</v>
      </c>
      <c r="C25" s="29" t="n">
        <f aca="false">A25*B25</f>
        <v>151977980</v>
      </c>
      <c r="D25" s="29" t="n">
        <f aca="false">SUM($B$3:B25)</f>
        <v>37708</v>
      </c>
      <c r="E25" s="29" t="n">
        <f aca="false">SUM($C$3:C25)</f>
        <v>3720589178.18</v>
      </c>
      <c r="F25" s="30" t="n">
        <f aca="false">D25/$D$266</f>
        <v>0.0960368377219903</v>
      </c>
      <c r="G25" s="30" t="n">
        <f aca="false">E25/$E$266</f>
        <v>0.0281244598347629</v>
      </c>
      <c r="H25" s="31" t="n">
        <f aca="false">(F25-F24)*(G25+G24)</f>
        <v>0.000161101135447615</v>
      </c>
      <c r="I25" s="32" t="n">
        <f aca="false">MIN(10,ROUNDUP(F25*10,0))</f>
        <v>1</v>
      </c>
    </row>
    <row r="26" customFormat="false" ht="15.75" hidden="false" customHeight="true" outlineLevel="0" collapsed="false">
      <c r="A26" s="29" t="n">
        <v>132666.67</v>
      </c>
      <c r="B26" s="29" t="n">
        <v>888</v>
      </c>
      <c r="C26" s="29" t="n">
        <f aca="false">A26*B26</f>
        <v>117808002.96</v>
      </c>
      <c r="D26" s="29" t="n">
        <f aca="false">SUM($B$3:B26)</f>
        <v>38596</v>
      </c>
      <c r="E26" s="29" t="n">
        <f aca="false">SUM($C$3:C26)</f>
        <v>3838397181.14</v>
      </c>
      <c r="F26" s="30" t="n">
        <f aca="false">D26/$D$266</f>
        <v>0.098298445653918</v>
      </c>
      <c r="G26" s="30" t="n">
        <f aca="false">E26/$E$266</f>
        <v>0.0290149871917991</v>
      </c>
      <c r="H26" s="31" t="n">
        <f aca="false">(F26-F25)*(G26+G25)</f>
        <v>0.000129227026621232</v>
      </c>
      <c r="I26" s="32" t="n">
        <f aca="false">MIN(10,ROUNDUP(F26*10,0))</f>
        <v>1</v>
      </c>
    </row>
    <row r="27" customFormat="false" ht="15.75" hidden="false" customHeight="true" outlineLevel="0" collapsed="false">
      <c r="A27" s="29" t="n">
        <v>133333.33</v>
      </c>
      <c r="B27" s="29" t="n">
        <v>1599</v>
      </c>
      <c r="C27" s="29" t="n">
        <f aca="false">A27*B27</f>
        <v>213199994.67</v>
      </c>
      <c r="D27" s="29" t="n">
        <f aca="false">SUM($B$3:B27)</f>
        <v>40195</v>
      </c>
      <c r="E27" s="29" t="n">
        <f aca="false">SUM($C$3:C27)</f>
        <v>4051597175.81</v>
      </c>
      <c r="F27" s="30" t="n">
        <f aca="false">D27/$D$266</f>
        <v>0.102370868044855</v>
      </c>
      <c r="G27" s="30" t="n">
        <f aca="false">E27/$E$266</f>
        <v>0.0306265961063316</v>
      </c>
      <c r="H27" s="31" t="n">
        <f aca="false">(F27-F26)*(G27+G26)</f>
        <v>0.000242885719254257</v>
      </c>
      <c r="I27" s="32" t="n">
        <f aca="false">MIN(10,ROUNDUP(F27*10,0))</f>
        <v>2</v>
      </c>
    </row>
    <row r="28" customFormat="false" ht="15.75" hidden="false" customHeight="true" outlineLevel="0" collapsed="false">
      <c r="A28" s="29" t="n">
        <v>137500</v>
      </c>
      <c r="B28" s="29" t="n">
        <v>1036</v>
      </c>
      <c r="C28" s="29" t="n">
        <f aca="false">A28*B28</f>
        <v>142450000</v>
      </c>
      <c r="D28" s="29" t="n">
        <f aca="false">SUM($B$3:B28)</f>
        <v>41231</v>
      </c>
      <c r="E28" s="29" t="n">
        <f aca="false">SUM($C$3:C28)</f>
        <v>4194047175.81</v>
      </c>
      <c r="F28" s="30" t="n">
        <f aca="false">D28/$D$266</f>
        <v>0.105009410632104</v>
      </c>
      <c r="G28" s="30" t="n">
        <f aca="false">E28/$E$266</f>
        <v>0.0317033958043358</v>
      </c>
      <c r="H28" s="31" t="n">
        <f aca="false">(F28-F27)*(G28+G27)</f>
        <v>0.000164460338119176</v>
      </c>
      <c r="I28" s="32" t="n">
        <f aca="false">MIN(10,ROUNDUP(F28*10,0))</f>
        <v>2</v>
      </c>
    </row>
    <row r="29" customFormat="false" ht="15.75" hidden="false" customHeight="true" outlineLevel="0" collapsed="false">
      <c r="A29" s="29" t="n">
        <v>138000</v>
      </c>
      <c r="B29" s="29" t="n">
        <v>1260</v>
      </c>
      <c r="C29" s="29" t="n">
        <f aca="false">A29*B29</f>
        <v>173880000</v>
      </c>
      <c r="D29" s="29" t="n">
        <f aca="false">SUM($B$3:B29)</f>
        <v>42491</v>
      </c>
      <c r="E29" s="29" t="n">
        <f aca="false">SUM($C$3:C29)</f>
        <v>4367927175.81</v>
      </c>
      <c r="F29" s="30" t="n">
        <f aca="false">D29/$D$266</f>
        <v>0.108218448913893</v>
      </c>
      <c r="G29" s="30" t="n">
        <f aca="false">E29/$E$266</f>
        <v>0.0330177793177719</v>
      </c>
      <c r="H29" s="31" t="n">
        <f aca="false">(F29-F28)*(G29+G28)</f>
        <v>0.000207692728609228</v>
      </c>
      <c r="I29" s="32" t="n">
        <f aca="false">MIN(10,ROUNDUP(F29*10,0))</f>
        <v>2</v>
      </c>
    </row>
    <row r="30" customFormat="false" ht="15.75" hidden="false" customHeight="true" outlineLevel="0" collapsed="false">
      <c r="A30" s="29" t="n">
        <v>138151.33</v>
      </c>
      <c r="B30" s="29" t="n">
        <v>723</v>
      </c>
      <c r="C30" s="29" t="n">
        <f aca="false">A30*B30</f>
        <v>99883411.59</v>
      </c>
      <c r="D30" s="29" t="n">
        <f aca="false">SUM($B$3:B30)</f>
        <v>43214</v>
      </c>
      <c r="E30" s="29" t="n">
        <f aca="false">SUM($C$3:C30)</f>
        <v>4467810587.4</v>
      </c>
      <c r="F30" s="30" t="n">
        <f aca="false">D30/$D$266</f>
        <v>0.110059825642253</v>
      </c>
      <c r="G30" s="30" t="n">
        <f aca="false">E30/$E$266</f>
        <v>0.0337728121534037</v>
      </c>
      <c r="H30" s="31" t="n">
        <f aca="false">(F30-F29)*(G30+G29)</f>
        <v>0.000122986640808423</v>
      </c>
      <c r="I30" s="32" t="n">
        <f aca="false">MIN(10,ROUNDUP(F30*10,0))</f>
        <v>2</v>
      </c>
    </row>
    <row r="31" customFormat="false" ht="15.75" hidden="false" customHeight="true" outlineLevel="0" collapsed="false">
      <c r="A31" s="29" t="n">
        <v>139752.5</v>
      </c>
      <c r="B31" s="29" t="n">
        <v>1264</v>
      </c>
      <c r="C31" s="29" t="n">
        <f aca="false">A31*B31</f>
        <v>176647160</v>
      </c>
      <c r="D31" s="29" t="n">
        <f aca="false">SUM($B$3:B31)</f>
        <v>44478</v>
      </c>
      <c r="E31" s="29" t="n">
        <f aca="false">SUM($C$3:C31)</f>
        <v>4644457747.4</v>
      </c>
      <c r="F31" s="30" t="n">
        <f aca="false">D31/$D$266</f>
        <v>0.113279051347159</v>
      </c>
      <c r="G31" s="30" t="n">
        <f aca="false">E31/$E$266</f>
        <v>0.0351081130206645</v>
      </c>
      <c r="H31" s="31" t="n">
        <f aca="false">(F31-F30)*(G31+G30)</f>
        <v>0.000221743244898067</v>
      </c>
      <c r="I31" s="32" t="n">
        <f aca="false">MIN(10,ROUNDUP(F31*10,0))</f>
        <v>2</v>
      </c>
    </row>
    <row r="32" customFormat="false" ht="15.75" hidden="false" customHeight="true" outlineLevel="0" collapsed="false">
      <c r="A32" s="29" t="n">
        <v>141200</v>
      </c>
      <c r="B32" s="29" t="n">
        <v>2010</v>
      </c>
      <c r="C32" s="29" t="n">
        <f aca="false">A32*B32</f>
        <v>283812000</v>
      </c>
      <c r="D32" s="29" t="n">
        <f aca="false">SUM($B$3:B32)</f>
        <v>46488</v>
      </c>
      <c r="E32" s="29" t="n">
        <f aca="false">SUM($C$3:C32)</f>
        <v>4928269747.4</v>
      </c>
      <c r="F32" s="30" t="n">
        <f aca="false">D32/$D$266</f>
        <v>0.118398231463347</v>
      </c>
      <c r="G32" s="30" t="n">
        <f aca="false">E32/$E$266</f>
        <v>0.0372534880707871</v>
      </c>
      <c r="H32" s="31" t="n">
        <f aca="false">(F32-F31)*(G32+G31)</f>
        <v>0.000370432069482855</v>
      </c>
      <c r="I32" s="32" t="n">
        <f aca="false">MIN(10,ROUNDUP(F32*10,0))</f>
        <v>2</v>
      </c>
    </row>
    <row r="33" customFormat="false" ht="15.75" hidden="false" customHeight="true" outlineLevel="0" collapsed="false">
      <c r="A33" s="29" t="n">
        <v>143333.33</v>
      </c>
      <c r="B33" s="29" t="n">
        <v>1032</v>
      </c>
      <c r="C33" s="29" t="n">
        <f aca="false">A33*B33</f>
        <v>147919996.56</v>
      </c>
      <c r="D33" s="29" t="n">
        <f aca="false">SUM($B$3:B33)</f>
        <v>47520</v>
      </c>
      <c r="E33" s="29" t="n">
        <f aca="false">SUM($C$3:C33)</f>
        <v>5076189743.96</v>
      </c>
      <c r="F33" s="30" t="n">
        <f aca="false">D33/$D$266</f>
        <v>0.121026586627479</v>
      </c>
      <c r="G33" s="30" t="n">
        <f aca="false">E33/$E$266</f>
        <v>0.03837163624646</v>
      </c>
      <c r="H33" s="31" t="n">
        <f aca="false">(F33-F32)*(G33+G32)</f>
        <v>0.00019876968603737</v>
      </c>
      <c r="I33" s="32" t="n">
        <f aca="false">MIN(10,ROUNDUP(F33*10,0))</f>
        <v>2</v>
      </c>
    </row>
    <row r="34" customFormat="false" ht="15.75" hidden="false" customHeight="true" outlineLevel="0" collapsed="false">
      <c r="A34" s="29" t="n">
        <v>144000</v>
      </c>
      <c r="B34" s="29" t="n">
        <v>1716</v>
      </c>
      <c r="C34" s="29" t="n">
        <f aca="false">A34*B34</f>
        <v>247104000</v>
      </c>
      <c r="D34" s="29" t="n">
        <f aca="false">SUM($B$3:B34)</f>
        <v>49236</v>
      </c>
      <c r="E34" s="29" t="n">
        <f aca="false">SUM($C$3:C34)</f>
        <v>5323293743.96</v>
      </c>
      <c r="F34" s="30" t="n">
        <f aca="false">D34/$D$266</f>
        <v>0.125396991144582</v>
      </c>
      <c r="G34" s="30" t="n">
        <f aca="false">E34/$E$266</f>
        <v>0.040239530332635</v>
      </c>
      <c r="H34" s="31" t="n">
        <f aca="false">(F34-F33)*(G34+G33)</f>
        <v>0.000343562597512044</v>
      </c>
      <c r="I34" s="32" t="n">
        <f aca="false">MIN(10,ROUNDUP(F34*10,0))</f>
        <v>2</v>
      </c>
    </row>
    <row r="35" customFormat="false" ht="15.75" hidden="false" customHeight="true" outlineLevel="0" collapsed="false">
      <c r="A35" s="29" t="n">
        <v>144194</v>
      </c>
      <c r="B35" s="29" t="n">
        <v>1328</v>
      </c>
      <c r="C35" s="29" t="n">
        <f aca="false">A35*B35</f>
        <v>191489632</v>
      </c>
      <c r="D35" s="29" t="n">
        <f aca="false">SUM($B$3:B35)</f>
        <v>50564</v>
      </c>
      <c r="E35" s="29" t="n">
        <f aca="false">SUM($C$3:C35)</f>
        <v>5514783375.96</v>
      </c>
      <c r="F35" s="30" t="n">
        <f aca="false">D35/$D$266</f>
        <v>0.128779215619357</v>
      </c>
      <c r="G35" s="30" t="n">
        <f aca="false">E35/$E$266</f>
        <v>0.0416870275450501</v>
      </c>
      <c r="H35" s="31" t="n">
        <f aca="false">(F35-F34)*(G35+G34)</f>
        <v>0.000277094009187951</v>
      </c>
      <c r="I35" s="32" t="n">
        <f aca="false">MIN(10,ROUNDUP(F35*10,0))</f>
        <v>2</v>
      </c>
    </row>
    <row r="36" customFormat="false" ht="15.75" hidden="false" customHeight="true" outlineLevel="0" collapsed="false">
      <c r="A36" s="29" t="n">
        <v>145826.67</v>
      </c>
      <c r="B36" s="29" t="n">
        <v>984</v>
      </c>
      <c r="C36" s="29" t="n">
        <f aca="false">A36*B36</f>
        <v>143493443.28</v>
      </c>
      <c r="D36" s="29" t="n">
        <f aca="false">SUM($B$3:B36)</f>
        <v>51548</v>
      </c>
      <c r="E36" s="29" t="n">
        <f aca="false">SUM($C$3:C36)</f>
        <v>5658276819.24</v>
      </c>
      <c r="F36" s="30" t="n">
        <f aca="false">D36/$D$266</f>
        <v>0.131285321706088</v>
      </c>
      <c r="G36" s="30" t="n">
        <f aca="false">E36/$E$266</f>
        <v>0.0427717147783916</v>
      </c>
      <c r="H36" s="31" t="n">
        <f aca="false">(F36-F35)*(G36+G35)</f>
        <v>0.000211662568214391</v>
      </c>
      <c r="I36" s="32" t="n">
        <f aca="false">MIN(10,ROUNDUP(F36*10,0))</f>
        <v>2</v>
      </c>
    </row>
    <row r="37" customFormat="false" ht="15.75" hidden="false" customHeight="true" outlineLevel="0" collapsed="false">
      <c r="A37" s="29" t="n">
        <v>147600</v>
      </c>
      <c r="B37" s="29" t="n">
        <v>2000</v>
      </c>
      <c r="C37" s="29" t="n">
        <f aca="false">A37*B37</f>
        <v>295200000</v>
      </c>
      <c r="D37" s="29" t="n">
        <f aca="false">SUM($B$3:B37)</f>
        <v>53548</v>
      </c>
      <c r="E37" s="29" t="n">
        <f aca="false">SUM($C$3:C37)</f>
        <v>5953476819.24</v>
      </c>
      <c r="F37" s="30" t="n">
        <f aca="false">D37/$D$266</f>
        <v>0.136379033264483</v>
      </c>
      <c r="G37" s="30" t="n">
        <f aca="false">E37/$E$266</f>
        <v>0.0450031733312231</v>
      </c>
      <c r="H37" s="31" t="n">
        <f aca="false">(F37-F36)*(G37+G36)</f>
        <v>0.000447099962100823</v>
      </c>
      <c r="I37" s="32" t="n">
        <f aca="false">MIN(10,ROUNDUP(F37*10,0))</f>
        <v>2</v>
      </c>
    </row>
    <row r="38" customFormat="false" ht="15.75" hidden="false" customHeight="true" outlineLevel="0" collapsed="false">
      <c r="A38" s="29" t="n">
        <v>149688.29</v>
      </c>
      <c r="B38" s="29" t="n">
        <v>2289</v>
      </c>
      <c r="C38" s="29" t="n">
        <f aca="false">A38*B38</f>
        <v>342636495.81</v>
      </c>
      <c r="D38" s="29" t="n">
        <f aca="false">SUM($B$3:B38)</f>
        <v>55837</v>
      </c>
      <c r="E38" s="29" t="n">
        <f aca="false">SUM($C$3:C38)</f>
        <v>6296113315.05</v>
      </c>
      <c r="F38" s="30" t="n">
        <f aca="false">D38/$D$266</f>
        <v>0.142208786143067</v>
      </c>
      <c r="G38" s="30" t="n">
        <f aca="false">E38/$E$266</f>
        <v>0.0475932110652591</v>
      </c>
      <c r="H38" s="31" t="n">
        <f aca="false">(F38-F37)*(G38+G37)</f>
        <v>0.00053981403848184</v>
      </c>
      <c r="I38" s="32" t="n">
        <f aca="false">MIN(10,ROUNDUP(F38*10,0))</f>
        <v>2</v>
      </c>
    </row>
    <row r="39" customFormat="false" ht="15.75" hidden="false" customHeight="true" outlineLevel="0" collapsed="false">
      <c r="A39" s="29" t="n">
        <v>150000</v>
      </c>
      <c r="B39" s="29" t="n">
        <v>1420</v>
      </c>
      <c r="C39" s="29" t="n">
        <f aca="false">A39*B39</f>
        <v>213000000</v>
      </c>
      <c r="D39" s="29" t="n">
        <f aca="false">SUM($B$3:B39)</f>
        <v>57257</v>
      </c>
      <c r="E39" s="29" t="n">
        <f aca="false">SUM($C$3:C39)</f>
        <v>6509113315.05</v>
      </c>
      <c r="F39" s="30" t="n">
        <f aca="false">D39/$D$266</f>
        <v>0.145825321349528</v>
      </c>
      <c r="G39" s="30" t="n">
        <f aca="false">E39/$E$266</f>
        <v>0.049203308191794</v>
      </c>
      <c r="H39" s="31" t="n">
        <f aca="false">(F39-F38)*(G39+G38)</f>
        <v>0.000350068019755998</v>
      </c>
      <c r="I39" s="32" t="n">
        <f aca="false">MIN(10,ROUNDUP(F39*10,0))</f>
        <v>2</v>
      </c>
    </row>
    <row r="40" customFormat="false" ht="15.75" hidden="false" customHeight="true" outlineLevel="0" collapsed="false">
      <c r="A40" s="29" t="n">
        <v>155000</v>
      </c>
      <c r="B40" s="29" t="n">
        <v>1216</v>
      </c>
      <c r="C40" s="29" t="n">
        <f aca="false">A40*B40</f>
        <v>188480000</v>
      </c>
      <c r="D40" s="29" t="n">
        <f aca="false">SUM($B$3:B40)</f>
        <v>58473</v>
      </c>
      <c r="E40" s="29" t="n">
        <f aca="false">SUM($C$3:C40)</f>
        <v>6697593315.05</v>
      </c>
      <c r="F40" s="30" t="n">
        <f aca="false">D40/$D$266</f>
        <v>0.148922297977032</v>
      </c>
      <c r="G40" s="30" t="n">
        <f aca="false">E40/$E$266</f>
        <v>0.0506280551702414</v>
      </c>
      <c r="H40" s="31" t="n">
        <f aca="false">(F40-F39)*(G40+G39)</f>
        <v>0.000309175399024135</v>
      </c>
      <c r="I40" s="32" t="n">
        <f aca="false">MIN(10,ROUNDUP(F40*10,0))</f>
        <v>2</v>
      </c>
    </row>
    <row r="41" customFormat="false" ht="15.75" hidden="false" customHeight="true" outlineLevel="0" collapsed="false">
      <c r="A41" s="29" t="n">
        <v>158000</v>
      </c>
      <c r="B41" s="29" t="n">
        <v>648</v>
      </c>
      <c r="C41" s="29" t="n">
        <f aca="false">A41*B41</f>
        <v>102384000</v>
      </c>
      <c r="D41" s="29" t="n">
        <f aca="false">SUM($B$3:B41)</f>
        <v>59121</v>
      </c>
      <c r="E41" s="29" t="n">
        <f aca="false">SUM($C$3:C41)</f>
        <v>6799977315.05</v>
      </c>
      <c r="F41" s="30" t="n">
        <f aca="false">D41/$D$266</f>
        <v>0.150572660521953</v>
      </c>
      <c r="G41" s="30" t="n">
        <f aca="false">E41/$E$266</f>
        <v>0.0514019903073454</v>
      </c>
      <c r="H41" s="31" t="n">
        <f aca="false">(F41-F40)*(G41+G40)</f>
        <v>0.000168386565512709</v>
      </c>
      <c r="I41" s="32" t="n">
        <f aca="false">MIN(10,ROUNDUP(F41*10,0))</f>
        <v>2</v>
      </c>
    </row>
    <row r="42" customFormat="false" ht="15.75" hidden="false" customHeight="true" outlineLevel="0" collapsed="false">
      <c r="A42" s="29" t="n">
        <v>160000</v>
      </c>
      <c r="B42" s="29" t="n">
        <v>296</v>
      </c>
      <c r="C42" s="29" t="n">
        <f aca="false">A42*B42</f>
        <v>47360000</v>
      </c>
      <c r="D42" s="29" t="n">
        <f aca="false">SUM($B$3:B42)</f>
        <v>59417</v>
      </c>
      <c r="E42" s="29" t="n">
        <f aca="false">SUM($C$3:C42)</f>
        <v>6847337315.05</v>
      </c>
      <c r="F42" s="30" t="n">
        <f aca="false">D42/$D$266</f>
        <v>0.151326529832595</v>
      </c>
      <c r="G42" s="30" t="n">
        <f aca="false">E42/$E$266</f>
        <v>0.0517599912459026</v>
      </c>
      <c r="H42" s="31" t="n">
        <f aca="false">(F42-F41)*(G42+G41)</f>
        <v>7.77706519180673E-005</v>
      </c>
      <c r="I42" s="32" t="n">
        <f aca="false">MIN(10,ROUNDUP(F42*10,0))</f>
        <v>2</v>
      </c>
    </row>
    <row r="43" customFormat="false" ht="15.75" hidden="false" customHeight="true" outlineLevel="0" collapsed="false">
      <c r="A43" s="29" t="n">
        <v>162379.33</v>
      </c>
      <c r="B43" s="29" t="n">
        <v>1806</v>
      </c>
      <c r="C43" s="29" t="n">
        <f aca="false">A43*B43</f>
        <v>293257069.98</v>
      </c>
      <c r="D43" s="29" t="n">
        <f aca="false">SUM($B$3:B43)</f>
        <v>61223</v>
      </c>
      <c r="E43" s="29" t="n">
        <f aca="false">SUM($C$3:C43)</f>
        <v>7140594385.03</v>
      </c>
      <c r="F43" s="30" t="n">
        <f aca="false">D43/$D$266</f>
        <v>0.155926151369826</v>
      </c>
      <c r="G43" s="30" t="n">
        <f aca="false">E43/$E$266</f>
        <v>0.0539767629159066</v>
      </c>
      <c r="H43" s="31" t="n">
        <f aca="false">(F43-F42)*(G43+G42)</f>
        <v>0.000486349051719579</v>
      </c>
      <c r="I43" s="32" t="n">
        <f aca="false">MIN(10,ROUNDUP(F43*10,0))</f>
        <v>2</v>
      </c>
    </row>
    <row r="44" customFormat="false" ht="15.75" hidden="false" customHeight="true" outlineLevel="0" collapsed="false">
      <c r="A44" s="29" t="n">
        <v>166694</v>
      </c>
      <c r="B44" s="29" t="n">
        <v>1704</v>
      </c>
      <c r="C44" s="29" t="n">
        <f aca="false">A44*B44</f>
        <v>284046576</v>
      </c>
      <c r="D44" s="29" t="n">
        <f aca="false">SUM($B$3:B44)</f>
        <v>62927</v>
      </c>
      <c r="E44" s="29" t="n">
        <f aca="false">SUM($C$3:C44)</f>
        <v>7424640961.03</v>
      </c>
      <c r="F44" s="30" t="n">
        <f aca="false">D44/$D$266</f>
        <v>0.160265993617579</v>
      </c>
      <c r="G44" s="30" t="n">
        <f aca="false">E44/$E$266</f>
        <v>0.0561239111591915</v>
      </c>
      <c r="H44" s="31" t="n">
        <f aca="false">(F44-F43)*(G44+G43)</f>
        <v>0.0004778195568572</v>
      </c>
      <c r="I44" s="32" t="n">
        <f aca="false">MIN(10,ROUNDUP(F44*10,0))</f>
        <v>2</v>
      </c>
    </row>
    <row r="45" customFormat="false" ht="15.75" hidden="false" customHeight="true" outlineLevel="0" collapsed="false">
      <c r="A45" s="29" t="n">
        <v>169000</v>
      </c>
      <c r="B45" s="29" t="n">
        <v>1252</v>
      </c>
      <c r="C45" s="29" t="n">
        <f aca="false">A45*B45</f>
        <v>211588000</v>
      </c>
      <c r="D45" s="29" t="n">
        <f aca="false">SUM($B$3:B45)</f>
        <v>64179</v>
      </c>
      <c r="E45" s="29" t="n">
        <f aca="false">SUM($C$3:C45)</f>
        <v>7636228961.03</v>
      </c>
      <c r="F45" s="30" t="n">
        <f aca="false">D45/$D$266</f>
        <v>0.163454657053135</v>
      </c>
      <c r="G45" s="30" t="n">
        <f aca="false">E45/$E$266</f>
        <v>0.0577233347780143</v>
      </c>
      <c r="H45" s="31" t="n">
        <f aca="false">(F45-F44)*(G45+G44)</f>
        <v>0.000363020550358677</v>
      </c>
      <c r="I45" s="32" t="n">
        <f aca="false">MIN(10,ROUNDUP(F45*10,0))</f>
        <v>2</v>
      </c>
    </row>
    <row r="46" customFormat="false" ht="15.75" hidden="false" customHeight="true" outlineLevel="0" collapsed="false">
      <c r="A46" s="29" t="n">
        <v>170128.5</v>
      </c>
      <c r="B46" s="29" t="n">
        <v>2956</v>
      </c>
      <c r="C46" s="29" t="n">
        <f aca="false">A46*B46</f>
        <v>502899846</v>
      </c>
      <c r="D46" s="29" t="n">
        <f aca="false">SUM($B$3:B46)</f>
        <v>67135</v>
      </c>
      <c r="E46" s="29" t="n">
        <f aca="false">SUM($C$3:C46)</f>
        <v>8139128807.03</v>
      </c>
      <c r="F46" s="30" t="n">
        <f aca="false">D46/$D$266</f>
        <v>0.170983162736444</v>
      </c>
      <c r="G46" s="30" t="n">
        <f aca="false">E46/$E$266</f>
        <v>0.0615248258436455</v>
      </c>
      <c r="H46" s="31" t="n">
        <f aca="false">(F46-F45)*(G46+G45)</f>
        <v>0.000897760454964273</v>
      </c>
      <c r="I46" s="32" t="n">
        <f aca="false">MIN(10,ROUNDUP(F46*10,0))</f>
        <v>2</v>
      </c>
    </row>
    <row r="47" customFormat="false" ht="15.75" hidden="false" customHeight="true" outlineLevel="0" collapsed="false">
      <c r="A47" s="29" t="n">
        <v>171250</v>
      </c>
      <c r="B47" s="29" t="n">
        <v>1332</v>
      </c>
      <c r="C47" s="29" t="n">
        <f aca="false">A47*B47</f>
        <v>228105000</v>
      </c>
      <c r="D47" s="29" t="n">
        <f aca="false">SUM($B$3:B47)</f>
        <v>68467</v>
      </c>
      <c r="E47" s="29" t="n">
        <f aca="false">SUM($C$3:C47)</f>
        <v>8367233807.03</v>
      </c>
      <c r="F47" s="30" t="n">
        <f aca="false">D47/$D$266</f>
        <v>0.174375574634335</v>
      </c>
      <c r="G47" s="30" t="n">
        <f aca="false">E47/$E$266</f>
        <v>0.0632491038016185</v>
      </c>
      <c r="H47" s="31" t="n">
        <f aca="false">(F47-F46)*(G47+G46)</f>
        <v>0.000423284563475263</v>
      </c>
      <c r="I47" s="32" t="n">
        <f aca="false">MIN(10,ROUNDUP(F47*10,0))</f>
        <v>2</v>
      </c>
    </row>
    <row r="48" customFormat="false" ht="15.75" hidden="false" customHeight="true" outlineLevel="0" collapsed="false">
      <c r="A48" s="29" t="n">
        <v>173600</v>
      </c>
      <c r="B48" s="29" t="n">
        <v>1535</v>
      </c>
      <c r="C48" s="29" t="n">
        <f aca="false">A48*B48</f>
        <v>266476000</v>
      </c>
      <c r="D48" s="29" t="n">
        <f aca="false">SUM($B$3:B48)</f>
        <v>70002</v>
      </c>
      <c r="E48" s="29" t="n">
        <f aca="false">SUM($C$3:C48)</f>
        <v>8633709807.03</v>
      </c>
      <c r="F48" s="30" t="n">
        <f aca="false">D48/$D$266</f>
        <v>0.178284998255404</v>
      </c>
      <c r="G48" s="30" t="n">
        <f aca="false">E48/$E$266</f>
        <v>0.0652634335757524</v>
      </c>
      <c r="H48" s="31" t="n">
        <f aca="false">(F48-F47)*(G48+G47)</f>
        <v>0.000502409949226556</v>
      </c>
      <c r="I48" s="32" t="n">
        <f aca="false">MIN(10,ROUNDUP(F48*10,0))</f>
        <v>2</v>
      </c>
    </row>
    <row r="49" customFormat="false" ht="15.75" hidden="false" customHeight="true" outlineLevel="0" collapsed="false">
      <c r="A49" s="29" t="n">
        <v>176340</v>
      </c>
      <c r="B49" s="29" t="n">
        <v>1965</v>
      </c>
      <c r="C49" s="29" t="n">
        <f aca="false">A49*B49</f>
        <v>346508100</v>
      </c>
      <c r="D49" s="29" t="n">
        <f aca="false">SUM($B$3:B49)</f>
        <v>71967</v>
      </c>
      <c r="E49" s="29" t="n">
        <f aca="false">SUM($C$3:C49)</f>
        <v>8980217907.03</v>
      </c>
      <c r="F49" s="30" t="n">
        <f aca="false">D49/$D$266</f>
        <v>0.183289569861527</v>
      </c>
      <c r="G49" s="30" t="n">
        <f aca="false">E49/$E$266</f>
        <v>0.067882737313457</v>
      </c>
      <c r="H49" s="31" t="n">
        <f aca="false">(F49-F48)*(G49+G48)</f>
        <v>0.000666339546296227</v>
      </c>
      <c r="I49" s="32" t="n">
        <f aca="false">MIN(10,ROUNDUP(F49*10,0))</f>
        <v>2</v>
      </c>
    </row>
    <row r="50" customFormat="false" ht="15.75" hidden="false" customHeight="true" outlineLevel="0" collapsed="false">
      <c r="A50" s="29" t="n">
        <v>177179.5</v>
      </c>
      <c r="B50" s="29" t="n">
        <v>952</v>
      </c>
      <c r="C50" s="29" t="n">
        <f aca="false">A50*B50</f>
        <v>168674884</v>
      </c>
      <c r="D50" s="29" t="n">
        <f aca="false">SUM($B$3:B50)</f>
        <v>72919</v>
      </c>
      <c r="E50" s="29" t="n">
        <f aca="false">SUM($C$3:C50)</f>
        <v>9148892791.03</v>
      </c>
      <c r="F50" s="30" t="n">
        <f aca="false">D50/$D$266</f>
        <v>0.185714176563324</v>
      </c>
      <c r="G50" s="30" t="n">
        <f aca="false">E50/$E$266</f>
        <v>0.069157774618842</v>
      </c>
      <c r="H50" s="31" t="n">
        <f aca="false">(F50-F49)*(G50+G49)</f>
        <v>0.000332269343648649</v>
      </c>
      <c r="I50" s="32" t="n">
        <f aca="false">MIN(10,ROUNDUP(F50*10,0))</f>
        <v>2</v>
      </c>
    </row>
    <row r="51" customFormat="false" ht="15.75" hidden="false" customHeight="true" outlineLevel="0" collapsed="false">
      <c r="A51" s="29" t="n">
        <v>177493.67</v>
      </c>
      <c r="B51" s="29" t="n">
        <v>1170</v>
      </c>
      <c r="C51" s="29" t="n">
        <f aca="false">A51*B51</f>
        <v>207667593.9</v>
      </c>
      <c r="D51" s="29" t="n">
        <f aca="false">SUM($B$3:B51)</f>
        <v>74089</v>
      </c>
      <c r="E51" s="29" t="n">
        <f aca="false">SUM($C$3:C51)</f>
        <v>9356560384.93</v>
      </c>
      <c r="F51" s="30" t="n">
        <f aca="false">D51/$D$266</f>
        <v>0.188693997824985</v>
      </c>
      <c r="G51" s="30" t="n">
        <f aca="false">E51/$E$266</f>
        <v>0.0707275633334561</v>
      </c>
      <c r="H51" s="31" t="n">
        <f aca="false">(F51-F50)*(G51+G50)</f>
        <v>0.000416833304224949</v>
      </c>
      <c r="I51" s="32" t="n">
        <f aca="false">MIN(10,ROUNDUP(F51*10,0))</f>
        <v>2</v>
      </c>
    </row>
    <row r="52" customFormat="false" ht="15.75" hidden="false" customHeight="true" outlineLevel="0" collapsed="false">
      <c r="A52" s="29" t="n">
        <v>178465</v>
      </c>
      <c r="B52" s="29" t="n">
        <v>1472</v>
      </c>
      <c r="C52" s="29" t="n">
        <f aca="false">A52*B52</f>
        <v>262700480</v>
      </c>
      <c r="D52" s="29" t="n">
        <f aca="false">SUM($B$3:B52)</f>
        <v>75561</v>
      </c>
      <c r="E52" s="29" t="n">
        <f aca="false">SUM($C$3:C52)</f>
        <v>9619260864.93</v>
      </c>
      <c r="F52" s="30" t="n">
        <f aca="false">D52/$D$266</f>
        <v>0.192442969531964</v>
      </c>
      <c r="G52" s="30" t="n">
        <f aca="false">E52/$E$266</f>
        <v>0.0727133534179037</v>
      </c>
      <c r="H52" s="31" t="n">
        <f aca="false">(F52-F51)*(G52+G51)</f>
        <v>0.000537755938524001</v>
      </c>
      <c r="I52" s="32" t="n">
        <f aca="false">MIN(10,ROUNDUP(F52*10,0))</f>
        <v>2</v>
      </c>
    </row>
    <row r="53" customFormat="false" ht="15.75" hidden="false" customHeight="true" outlineLevel="0" collapsed="false">
      <c r="A53" s="29" t="n">
        <v>179750</v>
      </c>
      <c r="B53" s="29" t="n">
        <v>3008</v>
      </c>
      <c r="C53" s="29" t="n">
        <f aca="false">A53*B53</f>
        <v>540688000</v>
      </c>
      <c r="D53" s="29" t="n">
        <f aca="false">SUM($B$3:B53)</f>
        <v>78569</v>
      </c>
      <c r="E53" s="29" t="n">
        <f aca="false">SUM($C$3:C53)</f>
        <v>10159948864.93</v>
      </c>
      <c r="F53" s="30" t="n">
        <f aca="false">D53/$D$266</f>
        <v>0.200103911715791</v>
      </c>
      <c r="G53" s="30" t="n">
        <f aca="false">E53/$E$266</f>
        <v>0.0768004904843446</v>
      </c>
      <c r="H53" s="31" t="n">
        <f aca="false">(F53-F52)*(G53+G52)</f>
        <v>0.00114541691381685</v>
      </c>
      <c r="I53" s="32" t="n">
        <f aca="false">MIN(10,ROUNDUP(F53*10,0))</f>
        <v>3</v>
      </c>
    </row>
    <row r="54" customFormat="false" ht="15.75" hidden="false" customHeight="true" outlineLevel="0" collapsed="false">
      <c r="A54" s="29" t="n">
        <v>183333.33</v>
      </c>
      <c r="B54" s="29" t="n">
        <v>813</v>
      </c>
      <c r="C54" s="29" t="n">
        <f aca="false">A54*B54</f>
        <v>149049997.29</v>
      </c>
      <c r="D54" s="29" t="n">
        <f aca="false">SUM($B$3:B54)</f>
        <v>79382</v>
      </c>
      <c r="E54" s="29" t="n">
        <f aca="false">SUM($C$3:C54)</f>
        <v>10308998862.22</v>
      </c>
      <c r="F54" s="30" t="n">
        <f aca="false">D54/$D$266</f>
        <v>0.202174505464279</v>
      </c>
      <c r="G54" s="30" t="n">
        <f aca="false">E54/$E$266</f>
        <v>0.0779271804953618</v>
      </c>
      <c r="H54" s="31" t="n">
        <f aca="false">(F54-F53)*(G54+G53)</f>
        <v>0.000320378148248654</v>
      </c>
      <c r="I54" s="32" t="n">
        <f aca="false">MIN(10,ROUNDUP(F54*10,0))</f>
        <v>3</v>
      </c>
    </row>
    <row r="55" customFormat="false" ht="15.75" hidden="false" customHeight="true" outlineLevel="0" collapsed="false">
      <c r="A55" s="29" t="n">
        <v>184931.75</v>
      </c>
      <c r="B55" s="29" t="n">
        <v>2872</v>
      </c>
      <c r="C55" s="29" t="n">
        <f aca="false">A55*B55</f>
        <v>531123986</v>
      </c>
      <c r="D55" s="29" t="n">
        <f aca="false">SUM($B$3:B55)</f>
        <v>82254</v>
      </c>
      <c r="E55" s="29" t="n">
        <f aca="false">SUM($C$3:C55)</f>
        <v>10840122848.22</v>
      </c>
      <c r="F55" s="30" t="n">
        <f aca="false">D55/$D$266</f>
        <v>0.209489075262135</v>
      </c>
      <c r="G55" s="30" t="n">
        <f aca="false">E55/$E$266</f>
        <v>0.0819420218272508</v>
      </c>
      <c r="H55" s="31" t="n">
        <f aca="false">(F55-F54)*(G55+G54)</f>
        <v>0.00116937443891633</v>
      </c>
      <c r="I55" s="32" t="n">
        <f aca="false">MIN(10,ROUNDUP(F55*10,0))</f>
        <v>3</v>
      </c>
    </row>
    <row r="56" customFormat="false" ht="15.75" hidden="false" customHeight="true" outlineLevel="0" collapsed="false">
      <c r="A56" s="29" t="n">
        <v>185827.33</v>
      </c>
      <c r="B56" s="29" t="n">
        <v>1080</v>
      </c>
      <c r="C56" s="29" t="n">
        <f aca="false">A56*B56</f>
        <v>200693516.4</v>
      </c>
      <c r="D56" s="29" t="n">
        <f aca="false">SUM($B$3:B56)</f>
        <v>83334</v>
      </c>
      <c r="E56" s="29" t="n">
        <f aca="false">SUM($C$3:C56)</f>
        <v>11040816364.62</v>
      </c>
      <c r="F56" s="30" t="n">
        <f aca="false">D56/$D$266</f>
        <v>0.212239679503669</v>
      </c>
      <c r="G56" s="30" t="n">
        <f aca="false">E56/$E$266</f>
        <v>0.083459092503635</v>
      </c>
      <c r="H56" s="31" t="n">
        <f aca="false">(F56-F55)*(G56+G55)</f>
        <v>0.000454953006632917</v>
      </c>
      <c r="I56" s="32" t="n">
        <f aca="false">MIN(10,ROUNDUP(F56*10,0))</f>
        <v>3</v>
      </c>
    </row>
    <row r="57" customFormat="false" ht="15.75" hidden="false" customHeight="true" outlineLevel="0" collapsed="false">
      <c r="A57" s="29" t="n">
        <v>186666.67</v>
      </c>
      <c r="B57" s="29" t="n">
        <v>912</v>
      </c>
      <c r="C57" s="29" t="n">
        <f aca="false">A57*B57</f>
        <v>170240003.04</v>
      </c>
      <c r="D57" s="29" t="n">
        <f aca="false">SUM($B$3:B57)</f>
        <v>84246</v>
      </c>
      <c r="E57" s="29" t="n">
        <f aca="false">SUM($C$3:C57)</f>
        <v>11211056367.66</v>
      </c>
      <c r="F57" s="30" t="n">
        <f aca="false">D57/$D$266</f>
        <v>0.214562411974297</v>
      </c>
      <c r="G57" s="30" t="n">
        <f aca="false">E57/$E$266</f>
        <v>0.0847459607652125</v>
      </c>
      <c r="H57" s="31" t="n">
        <f aca="false">(F57-F56)*(G57+G56)</f>
        <v>0.00039069533895133</v>
      </c>
      <c r="I57" s="32" t="n">
        <f aca="false">MIN(10,ROUNDUP(F57*10,0))</f>
        <v>3</v>
      </c>
    </row>
    <row r="58" customFormat="false" ht="15.75" hidden="false" customHeight="true" outlineLevel="0" collapsed="false">
      <c r="A58" s="29" t="n">
        <v>187500</v>
      </c>
      <c r="B58" s="29" t="n">
        <v>1748</v>
      </c>
      <c r="C58" s="29" t="n">
        <f aca="false">A58*B58</f>
        <v>327750000</v>
      </c>
      <c r="D58" s="29" t="n">
        <f aca="false">SUM($B$3:B58)</f>
        <v>85994</v>
      </c>
      <c r="E58" s="29" t="n">
        <f aca="false">SUM($C$3:C58)</f>
        <v>11538806367.66</v>
      </c>
      <c r="F58" s="30" t="n">
        <f aca="false">D58/$D$266</f>
        <v>0.219014315876335</v>
      </c>
      <c r="G58" s="30" t="n">
        <f aca="false">E58/$E$266</f>
        <v>0.0872234693718877</v>
      </c>
      <c r="H58" s="31" t="n">
        <f aca="false">(F58-F57)*(G58+G57)</f>
        <v>0.000765591377058566</v>
      </c>
      <c r="I58" s="32" t="n">
        <f aca="false">MIN(10,ROUNDUP(F58*10,0))</f>
        <v>3</v>
      </c>
    </row>
    <row r="59" customFormat="false" ht="15.75" hidden="false" customHeight="true" outlineLevel="0" collapsed="false">
      <c r="A59" s="29" t="n">
        <v>190000</v>
      </c>
      <c r="B59" s="29" t="n">
        <v>1475</v>
      </c>
      <c r="C59" s="29" t="n">
        <f aca="false">A59*B59</f>
        <v>280250000</v>
      </c>
      <c r="D59" s="29" t="n">
        <f aca="false">SUM($B$3:B59)</f>
        <v>87469</v>
      </c>
      <c r="E59" s="29" t="n">
        <f aca="false">SUM($C$3:C59)</f>
        <v>11819056367.66</v>
      </c>
      <c r="F59" s="30" t="n">
        <f aca="false">D59/$D$266</f>
        <v>0.222770928150652</v>
      </c>
      <c r="G59" s="30" t="n">
        <f aca="false">E59/$E$266</f>
        <v>0.0893419187602041</v>
      </c>
      <c r="H59" s="31" t="n">
        <f aca="false">(F59-F58)*(G59+G58)</f>
        <v>0.000663287704276513</v>
      </c>
      <c r="I59" s="32" t="n">
        <f aca="false">MIN(10,ROUNDUP(F59*10,0))</f>
        <v>3</v>
      </c>
    </row>
    <row r="60" customFormat="false" ht="15.75" hidden="false" customHeight="true" outlineLevel="0" collapsed="false">
      <c r="A60" s="29" t="n">
        <v>191666.67</v>
      </c>
      <c r="B60" s="29" t="n">
        <v>1494</v>
      </c>
      <c r="C60" s="29" t="n">
        <f aca="false">A60*B60</f>
        <v>286350004.98</v>
      </c>
      <c r="D60" s="29" t="n">
        <f aca="false">SUM($B$3:B60)</f>
        <v>88963</v>
      </c>
      <c r="E60" s="29" t="n">
        <f aca="false">SUM($C$3:C60)</f>
        <v>12105406372.64</v>
      </c>
      <c r="F60" s="30" t="n">
        <f aca="false">D60/$D$266</f>
        <v>0.226575930684773</v>
      </c>
      <c r="G60" s="30" t="n">
        <f aca="false">E60/$E$266</f>
        <v>0.0915064789489438</v>
      </c>
      <c r="H60" s="31" t="n">
        <f aca="false">(F60-F59)*(G60+G59)</f>
        <v>0.000688128611575121</v>
      </c>
      <c r="I60" s="32" t="n">
        <f aca="false">MIN(10,ROUNDUP(F60*10,0))</f>
        <v>3</v>
      </c>
    </row>
    <row r="61" customFormat="false" ht="15.75" hidden="false" customHeight="true" outlineLevel="0" collapsed="false">
      <c r="A61" s="29" t="n">
        <v>195916.67</v>
      </c>
      <c r="B61" s="29" t="n">
        <v>2472</v>
      </c>
      <c r="C61" s="29" t="n">
        <f aca="false">A61*B61</f>
        <v>484306008.24</v>
      </c>
      <c r="D61" s="29" t="n">
        <f aca="false">SUM($B$3:B61)</f>
        <v>91435</v>
      </c>
      <c r="E61" s="29" t="n">
        <f aca="false">SUM($C$3:C61)</f>
        <v>12589712380.88</v>
      </c>
      <c r="F61" s="30" t="n">
        <f aca="false">D61/$D$266</f>
        <v>0.23287175817095</v>
      </c>
      <c r="G61" s="30" t="n">
        <f aca="false">E61/$E$266</f>
        <v>0.0951674165650509</v>
      </c>
      <c r="H61" s="31" t="n">
        <f aca="false">(F61-F60)*(G61+G60)</f>
        <v>0.00117526664232873</v>
      </c>
      <c r="I61" s="32" t="n">
        <f aca="false">MIN(10,ROUNDUP(F61*10,0))</f>
        <v>3</v>
      </c>
    </row>
    <row r="62" customFormat="false" ht="15.75" hidden="false" customHeight="true" outlineLevel="0" collapsed="false">
      <c r="A62" s="29" t="n">
        <v>196132.67</v>
      </c>
      <c r="B62" s="29" t="n">
        <v>1257</v>
      </c>
      <c r="C62" s="29" t="n">
        <f aca="false">A62*B62</f>
        <v>246538766.19</v>
      </c>
      <c r="D62" s="29" t="n">
        <f aca="false">SUM($B$3:B62)</f>
        <v>92692</v>
      </c>
      <c r="E62" s="29" t="n">
        <f aca="false">SUM($C$3:C62)</f>
        <v>12836251147.07</v>
      </c>
      <c r="F62" s="30" t="n">
        <f aca="false">D62/$D$266</f>
        <v>0.236073155885402</v>
      </c>
      <c r="G62" s="30" t="n">
        <f aca="false">E62/$E$266</f>
        <v>0.09703103796891</v>
      </c>
      <c r="H62" s="31" t="n">
        <f aca="false">(F62-F61)*(G62+G61)</f>
        <v>0.000615303693066158</v>
      </c>
      <c r="I62" s="32" t="n">
        <f aca="false">MIN(10,ROUNDUP(F62*10,0))</f>
        <v>3</v>
      </c>
    </row>
    <row r="63" customFormat="false" ht="15.75" hidden="false" customHeight="true" outlineLevel="0" collapsed="false">
      <c r="A63" s="29" t="n">
        <v>200000</v>
      </c>
      <c r="B63" s="29" t="n">
        <v>7872</v>
      </c>
      <c r="C63" s="29" t="n">
        <f aca="false">A63*B63</f>
        <v>1574400000</v>
      </c>
      <c r="D63" s="29" t="n">
        <f aca="false">SUM($B$3:B63)</f>
        <v>100564</v>
      </c>
      <c r="E63" s="29" t="n">
        <f aca="false">SUM($C$3:C63)</f>
        <v>14410651147.07</v>
      </c>
      <c r="F63" s="30" t="n">
        <f aca="false">D63/$D$266</f>
        <v>0.256122004579247</v>
      </c>
      <c r="G63" s="30" t="n">
        <f aca="false">E63/$E$266</f>
        <v>0.108932150250678</v>
      </c>
      <c r="H63" s="31" t="n">
        <f aca="false">(F63-F62)*(G63+G62)</f>
        <v>0.00412932479711643</v>
      </c>
      <c r="I63" s="32" t="n">
        <f aca="false">MIN(10,ROUNDUP(F63*10,0))</f>
        <v>3</v>
      </c>
    </row>
    <row r="64" customFormat="false" ht="15.75" hidden="false" customHeight="true" outlineLevel="0" collapsed="false">
      <c r="A64" s="29" t="n">
        <v>202333.33</v>
      </c>
      <c r="B64" s="29" t="n">
        <v>5646</v>
      </c>
      <c r="C64" s="29" t="n">
        <f aca="false">A64*B64</f>
        <v>1142373981.18</v>
      </c>
      <c r="D64" s="29" t="n">
        <f aca="false">SUM($B$3:B64)</f>
        <v>106210</v>
      </c>
      <c r="E64" s="29" t="n">
        <f aca="false">SUM($C$3:C64)</f>
        <v>15553025128.25</v>
      </c>
      <c r="F64" s="30" t="n">
        <f aca="false">D64/$D$266</f>
        <v>0.270501552308597</v>
      </c>
      <c r="G64" s="30" t="n">
        <f aca="false">E64/$E$266</f>
        <v>0.117567516750801</v>
      </c>
      <c r="H64" s="31" t="n">
        <f aca="false">(F64-F63)*(G64+G63)</f>
        <v>0.00325696277232981</v>
      </c>
      <c r="I64" s="32" t="n">
        <f aca="false">MIN(10,ROUNDUP(F64*10,0))</f>
        <v>3</v>
      </c>
    </row>
    <row r="65" customFormat="false" ht="15.75" hidden="false" customHeight="true" outlineLevel="0" collapsed="false">
      <c r="A65" s="29" t="n">
        <v>206285.71</v>
      </c>
      <c r="B65" s="29" t="n">
        <v>2744</v>
      </c>
      <c r="C65" s="29" t="n">
        <f aca="false">A65*B65</f>
        <v>566047988.24</v>
      </c>
      <c r="D65" s="29" t="n">
        <f aca="false">SUM($B$3:B65)</f>
        <v>108954</v>
      </c>
      <c r="E65" s="29" t="n">
        <f aca="false">SUM($C$3:C65)</f>
        <v>16119073116.49</v>
      </c>
      <c r="F65" s="30" t="n">
        <f aca="false">D65/$D$266</f>
        <v>0.277490124566716</v>
      </c>
      <c r="G65" s="30" t="n">
        <f aca="false">E65/$E$266</f>
        <v>0.121846353555242</v>
      </c>
      <c r="H65" s="31" t="n">
        <f aca="false">(F65-F64)*(G65+G64)</f>
        <v>0.00167316113222966</v>
      </c>
      <c r="I65" s="32" t="n">
        <f aca="false">MIN(10,ROUNDUP(F65*10,0))</f>
        <v>3</v>
      </c>
    </row>
    <row r="66" customFormat="false" ht="15.75" hidden="false" customHeight="true" outlineLevel="0" collapsed="false">
      <c r="A66" s="29" t="n">
        <v>206548.33</v>
      </c>
      <c r="B66" s="29" t="n">
        <v>822</v>
      </c>
      <c r="C66" s="29" t="n">
        <f aca="false">A66*B66</f>
        <v>169782727.26</v>
      </c>
      <c r="D66" s="29" t="n">
        <f aca="false">SUM($B$3:B66)</f>
        <v>109776</v>
      </c>
      <c r="E66" s="29" t="n">
        <f aca="false">SUM($C$3:C66)</f>
        <v>16288855843.75</v>
      </c>
      <c r="F66" s="30" t="n">
        <f aca="false">D66/$D$266</f>
        <v>0.279583640017217</v>
      </c>
      <c r="G66" s="30" t="n">
        <f aca="false">E66/$E$266</f>
        <v>0.123129765204522</v>
      </c>
      <c r="H66" s="31" t="n">
        <f aca="false">(F66-F65)*(G66+G65)</f>
        <v>0.00051286128962723</v>
      </c>
      <c r="I66" s="32" t="n">
        <f aca="false">MIN(10,ROUNDUP(F66*10,0))</f>
        <v>3</v>
      </c>
    </row>
    <row r="67" customFormat="false" ht="15.75" hidden="false" customHeight="true" outlineLevel="0" collapsed="false">
      <c r="A67" s="29" t="n">
        <v>207500</v>
      </c>
      <c r="B67" s="29" t="n">
        <v>1248</v>
      </c>
      <c r="C67" s="29" t="n">
        <f aca="false">A67*B67</f>
        <v>258960000</v>
      </c>
      <c r="D67" s="29" t="n">
        <f aca="false">SUM($B$3:B67)</f>
        <v>111024</v>
      </c>
      <c r="E67" s="29" t="n">
        <f aca="false">SUM($C$3:C67)</f>
        <v>16547815843.75</v>
      </c>
      <c r="F67" s="30" t="n">
        <f aca="false">D67/$D$266</f>
        <v>0.282762116029656</v>
      </c>
      <c r="G67" s="30" t="n">
        <f aca="false">E67/$E$266</f>
        <v>0.1250872804716</v>
      </c>
      <c r="H67" s="31" t="n">
        <f aca="false">(F67-F66)*(G67+G66)</f>
        <v>0.000788951925559982</v>
      </c>
      <c r="I67" s="32" t="n">
        <f aca="false">MIN(10,ROUNDUP(F67*10,0))</f>
        <v>3</v>
      </c>
    </row>
    <row r="68" customFormat="false" ht="15.75" hidden="false" customHeight="true" outlineLevel="0" collapsed="false">
      <c r="A68" s="29" t="n">
        <v>208000</v>
      </c>
      <c r="B68" s="29" t="n">
        <v>702</v>
      </c>
      <c r="C68" s="29" t="n">
        <f aca="false">A68*B68</f>
        <v>146016000</v>
      </c>
      <c r="D68" s="29" t="n">
        <f aca="false">SUM($B$3:B68)</f>
        <v>111726</v>
      </c>
      <c r="E68" s="29" t="n">
        <f aca="false">SUM($C$3:C68)</f>
        <v>16693831843.75</v>
      </c>
      <c r="F68" s="30" t="n">
        <f aca="false">D68/$D$266</f>
        <v>0.284550008786652</v>
      </c>
      <c r="G68" s="30" t="n">
        <f aca="false">E68/$E$266</f>
        <v>0.126191036067976</v>
      </c>
      <c r="H68" s="31" t="n">
        <f aca="false">(F68-F67)*(G68+G67)</f>
        <v>0.000449258682131473</v>
      </c>
      <c r="I68" s="32" t="n">
        <f aca="false">MIN(10,ROUNDUP(F68*10,0))</f>
        <v>3</v>
      </c>
    </row>
    <row r="69" customFormat="false" ht="15.75" hidden="false" customHeight="true" outlineLevel="0" collapsed="false">
      <c r="A69" s="29" t="n">
        <v>208204.8</v>
      </c>
      <c r="B69" s="29" t="n">
        <v>1510</v>
      </c>
      <c r="C69" s="29" t="n">
        <f aca="false">A69*B69</f>
        <v>314389248</v>
      </c>
      <c r="D69" s="29" t="n">
        <f aca="false">SUM($B$3:B69)</f>
        <v>113236</v>
      </c>
      <c r="E69" s="29" t="n">
        <f aca="false">SUM($C$3:C69)</f>
        <v>17008221091.75</v>
      </c>
      <c r="F69" s="30" t="n">
        <f aca="false">D69/$D$266</f>
        <v>0.288395761013241</v>
      </c>
      <c r="G69" s="30" t="n">
        <f aca="false">E69/$E$266</f>
        <v>0.12856754886055</v>
      </c>
      <c r="H69" s="31" t="n">
        <f aca="false">(F69-F68)*(G69+G68)</f>
        <v>0.000979738395231456</v>
      </c>
      <c r="I69" s="32" t="n">
        <f aca="false">MIN(10,ROUNDUP(F69*10,0))</f>
        <v>3</v>
      </c>
    </row>
    <row r="70" customFormat="false" ht="15.75" hidden="false" customHeight="true" outlineLevel="0" collapsed="false">
      <c r="A70" s="29" t="n">
        <v>209628.5</v>
      </c>
      <c r="B70" s="29" t="n">
        <v>3920</v>
      </c>
      <c r="C70" s="29" t="n">
        <f aca="false">A70*B70</f>
        <v>821743720</v>
      </c>
      <c r="D70" s="29" t="n">
        <f aca="false">SUM($B$3:B70)</f>
        <v>117156</v>
      </c>
      <c r="E70" s="29" t="n">
        <f aca="false">SUM($C$3:C70)</f>
        <v>17829964811.75</v>
      </c>
      <c r="F70" s="30" t="n">
        <f aca="false">D70/$D$266</f>
        <v>0.298379435667696</v>
      </c>
      <c r="G70" s="30" t="n">
        <f aca="false">E70/$E$266</f>
        <v>0.134779225866747</v>
      </c>
      <c r="H70" s="31" t="n">
        <f aca="false">(F70-F69)*(G70+G69)</f>
        <v>0.00262916852017747</v>
      </c>
      <c r="I70" s="32" t="n">
        <f aca="false">MIN(10,ROUNDUP(F70*10,0))</f>
        <v>3</v>
      </c>
    </row>
    <row r="71" customFormat="false" ht="15.75" hidden="false" customHeight="true" outlineLevel="0" collapsed="false">
      <c r="A71" s="29" t="n">
        <v>210000</v>
      </c>
      <c r="B71" s="29" t="n">
        <v>616</v>
      </c>
      <c r="C71" s="29" t="n">
        <f aca="false">A71*B71</f>
        <v>129360000</v>
      </c>
      <c r="D71" s="29" t="n">
        <f aca="false">SUM($B$3:B71)</f>
        <v>117772</v>
      </c>
      <c r="E71" s="29" t="n">
        <f aca="false">SUM($C$3:C71)</f>
        <v>17959324811.75</v>
      </c>
      <c r="F71" s="30" t="n">
        <f aca="false">D71/$D$266</f>
        <v>0.299948298827682</v>
      </c>
      <c r="G71" s="30" t="n">
        <f aca="false">E71/$E$266</f>
        <v>0.135757076403313</v>
      </c>
      <c r="H71" s="31" t="n">
        <f aca="false">(F71-F70)*(G71+G70)</f>
        <v>0.00042443443807029</v>
      </c>
      <c r="I71" s="32" t="n">
        <f aca="false">MIN(10,ROUNDUP(F71*10,0))</f>
        <v>3</v>
      </c>
    </row>
    <row r="72" customFormat="false" ht="15.75" hidden="false" customHeight="true" outlineLevel="0" collapsed="false">
      <c r="A72" s="29" t="n">
        <v>210400</v>
      </c>
      <c r="B72" s="29" t="n">
        <v>1620</v>
      </c>
      <c r="C72" s="29" t="n">
        <f aca="false">A72*B72</f>
        <v>340848000</v>
      </c>
      <c r="D72" s="29" t="n">
        <f aca="false">SUM($B$3:B72)</f>
        <v>119392</v>
      </c>
      <c r="E72" s="29" t="n">
        <f aca="false">SUM($C$3:C72)</f>
        <v>18300172811.75</v>
      </c>
      <c r="F72" s="30" t="n">
        <f aca="false">D72/$D$266</f>
        <v>0.304074205189983</v>
      </c>
      <c r="G72" s="30" t="n">
        <f aca="false">E72/$E$266</f>
        <v>0.138333594644558</v>
      </c>
      <c r="H72" s="31" t="n">
        <f aca="false">(F72-F71)*(G72+G71)</f>
        <v>0.00113087244352361</v>
      </c>
      <c r="I72" s="32" t="n">
        <f aca="false">MIN(10,ROUNDUP(F72*10,0))</f>
        <v>4</v>
      </c>
    </row>
    <row r="73" customFormat="false" ht="15.75" hidden="false" customHeight="true" outlineLevel="0" collapsed="false">
      <c r="A73" s="29" t="n">
        <v>212064.4</v>
      </c>
      <c r="B73" s="29" t="n">
        <v>1820</v>
      </c>
      <c r="C73" s="29" t="n">
        <f aca="false">A73*B73</f>
        <v>385957208</v>
      </c>
      <c r="D73" s="29" t="n">
        <f aca="false">SUM($B$3:B73)</f>
        <v>121212</v>
      </c>
      <c r="E73" s="29" t="n">
        <f aca="false">SUM($C$3:C73)</f>
        <v>18686130019.75</v>
      </c>
      <c r="F73" s="30" t="n">
        <f aca="false">D73/$D$266</f>
        <v>0.308709482708123</v>
      </c>
      <c r="G73" s="30" t="n">
        <f aca="false">E73/$E$266</f>
        <v>0.141251099769283</v>
      </c>
      <c r="H73" s="31" t="n">
        <f aca="false">(F73-F72)*(G73+G72)</f>
        <v>0.00129595264843253</v>
      </c>
      <c r="I73" s="32" t="n">
        <f aca="false">MIN(10,ROUNDUP(F73*10,0))</f>
        <v>4</v>
      </c>
    </row>
    <row r="74" customFormat="false" ht="15.75" hidden="false" customHeight="true" outlineLevel="0" collapsed="false">
      <c r="A74" s="29" t="n">
        <v>212500</v>
      </c>
      <c r="B74" s="29" t="n">
        <v>2572</v>
      </c>
      <c r="C74" s="29" t="n">
        <f aca="false">A74*B74</f>
        <v>546550000</v>
      </c>
      <c r="D74" s="29" t="n">
        <f aca="false">SUM($B$3:B74)</f>
        <v>123784</v>
      </c>
      <c r="E74" s="29" t="n">
        <f aca="false">SUM($C$3:C74)</f>
        <v>19232680019.75</v>
      </c>
      <c r="F74" s="30" t="n">
        <f aca="false">D74/$D$266</f>
        <v>0.315259995772219</v>
      </c>
      <c r="G74" s="30" t="n">
        <f aca="false">E74/$E$266</f>
        <v>0.14538254852284</v>
      </c>
      <c r="H74" s="31" t="n">
        <f aca="false">(F74-F73)*(G74+G73)</f>
        <v>0.00187759745774725</v>
      </c>
      <c r="I74" s="32" t="n">
        <f aca="false">MIN(10,ROUNDUP(F74*10,0))</f>
        <v>4</v>
      </c>
    </row>
    <row r="75" customFormat="false" ht="15.75" hidden="false" customHeight="true" outlineLevel="0" collapsed="false">
      <c r="A75" s="29" t="n">
        <v>212666.67</v>
      </c>
      <c r="B75" s="29" t="n">
        <v>1071</v>
      </c>
      <c r="C75" s="29" t="n">
        <f aca="false">A75*B75</f>
        <v>227766003.57</v>
      </c>
      <c r="D75" s="29" t="n">
        <f aca="false">SUM($B$3:B75)</f>
        <v>124855</v>
      </c>
      <c r="E75" s="29" t="n">
        <f aca="false">SUM($C$3:C75)</f>
        <v>19460446023.32</v>
      </c>
      <c r="F75" s="30" t="n">
        <f aca="false">D75/$D$266</f>
        <v>0.31798767831174</v>
      </c>
      <c r="G75" s="30" t="n">
        <f aca="false">E75/$E$266</f>
        <v>0.147104263958851</v>
      </c>
      <c r="H75" s="31" t="n">
        <f aca="false">(F75-F74)*(G75+G74)</f>
        <v>0.000797811171446409</v>
      </c>
      <c r="I75" s="32" t="n">
        <f aca="false">MIN(10,ROUNDUP(F75*10,0))</f>
        <v>4</v>
      </c>
    </row>
    <row r="76" customFormat="false" ht="15.75" hidden="false" customHeight="true" outlineLevel="0" collapsed="false">
      <c r="A76" s="29" t="n">
        <v>214000</v>
      </c>
      <c r="B76" s="29" t="n">
        <v>1992</v>
      </c>
      <c r="C76" s="29" t="n">
        <f aca="false">A76*B76</f>
        <v>426288000</v>
      </c>
      <c r="D76" s="29" t="n">
        <f aca="false">SUM($B$3:B76)</f>
        <v>126847</v>
      </c>
      <c r="E76" s="29" t="n">
        <f aca="false">SUM($C$3:C76)</f>
        <v>19886734023.32</v>
      </c>
      <c r="F76" s="30" t="n">
        <f aca="false">D76/$D$266</f>
        <v>0.323061015023902</v>
      </c>
      <c r="G76" s="30" t="n">
        <f aca="false">E76/$E$266</f>
        <v>0.150326635244655</v>
      </c>
      <c r="H76" s="31" t="n">
        <f aca="false">(F76-F75)*(G76+G75)</f>
        <v>0.0015089671002605</v>
      </c>
      <c r="I76" s="32" t="n">
        <f aca="false">MIN(10,ROUNDUP(F76*10,0))</f>
        <v>4</v>
      </c>
    </row>
    <row r="77" customFormat="false" ht="15.75" hidden="false" customHeight="true" outlineLevel="0" collapsed="false">
      <c r="A77" s="29" t="n">
        <v>215250</v>
      </c>
      <c r="B77" s="29" t="n">
        <v>1280</v>
      </c>
      <c r="C77" s="29" t="n">
        <f aca="false">A77*B77</f>
        <v>275520000</v>
      </c>
      <c r="D77" s="29" t="n">
        <f aca="false">SUM($B$3:B77)</f>
        <v>128127</v>
      </c>
      <c r="E77" s="29" t="n">
        <f aca="false">SUM($C$3:C77)</f>
        <v>20162254023.32</v>
      </c>
      <c r="F77" s="30" t="n">
        <f aca="false">D77/$D$266</f>
        <v>0.326320990421275</v>
      </c>
      <c r="G77" s="30" t="n">
        <f aca="false">E77/$E$266</f>
        <v>0.152409329893964</v>
      </c>
      <c r="H77" s="31" t="n">
        <f aca="false">(F77-F76)*(G77+G76)</f>
        <v>0.000986911798251935</v>
      </c>
      <c r="I77" s="32" t="n">
        <f aca="false">MIN(10,ROUNDUP(F77*10,0))</f>
        <v>4</v>
      </c>
    </row>
    <row r="78" customFormat="false" ht="15.75" hidden="false" customHeight="true" outlineLevel="0" collapsed="false">
      <c r="A78" s="29" t="n">
        <v>216000</v>
      </c>
      <c r="B78" s="29" t="n">
        <v>1265</v>
      </c>
      <c r="C78" s="29" t="n">
        <f aca="false">A78*B78</f>
        <v>273240000</v>
      </c>
      <c r="D78" s="29" t="n">
        <f aca="false">SUM($B$3:B78)</f>
        <v>129392</v>
      </c>
      <c r="E78" s="29" t="n">
        <f aca="false">SUM($C$3:C78)</f>
        <v>20435494023.32</v>
      </c>
      <c r="F78" s="30" t="n">
        <f aca="false">D78/$D$266</f>
        <v>0.329542762981961</v>
      </c>
      <c r="G78" s="30" t="n">
        <f aca="false">E78/$E$266</f>
        <v>0.154474789700793</v>
      </c>
      <c r="H78" s="31" t="n">
        <f aca="false">(F78-F77)*(G78+G77)</f>
        <v>0.000988710835820416</v>
      </c>
      <c r="I78" s="32" t="n">
        <f aca="false">MIN(10,ROUNDUP(F78*10,0))</f>
        <v>4</v>
      </c>
    </row>
    <row r="79" customFormat="false" ht="15.75" hidden="false" customHeight="true" outlineLevel="0" collapsed="false">
      <c r="A79" s="29" t="n">
        <v>216454.33</v>
      </c>
      <c r="B79" s="29" t="n">
        <v>2040</v>
      </c>
      <c r="C79" s="29" t="n">
        <f aca="false">A79*B79</f>
        <v>441566833.2</v>
      </c>
      <c r="D79" s="29" t="n">
        <f aca="false">SUM($B$3:B79)</f>
        <v>131432</v>
      </c>
      <c r="E79" s="29" t="n">
        <f aca="false">SUM($C$3:C79)</f>
        <v>20877060856.52</v>
      </c>
      <c r="F79" s="30" t="n">
        <f aca="false">D79/$D$266</f>
        <v>0.334738348771524</v>
      </c>
      <c r="G79" s="30" t="n">
        <f aca="false">E79/$E$266</f>
        <v>0.157812655847781</v>
      </c>
      <c r="H79" s="31" t="n">
        <f aca="false">(F79-F78)*(G79+G78)</f>
        <v>0.00162251621435126</v>
      </c>
      <c r="I79" s="32" t="n">
        <f aca="false">MIN(10,ROUNDUP(F79*10,0))</f>
        <v>4</v>
      </c>
    </row>
    <row r="80" customFormat="false" ht="15.75" hidden="false" customHeight="true" outlineLevel="0" collapsed="false">
      <c r="A80" s="29" t="n">
        <v>216666.67</v>
      </c>
      <c r="B80" s="29" t="n">
        <v>993</v>
      </c>
      <c r="C80" s="29" t="n">
        <f aca="false">A80*B80</f>
        <v>215150003.31</v>
      </c>
      <c r="D80" s="29" t="n">
        <f aca="false">SUM($B$3:B80)</f>
        <v>132425</v>
      </c>
      <c r="E80" s="29" t="n">
        <f aca="false">SUM($C$3:C80)</f>
        <v>21092210859.83</v>
      </c>
      <c r="F80" s="30" t="n">
        <f aca="false">D80/$D$266</f>
        <v>0.337267376560268</v>
      </c>
      <c r="G80" s="30" t="n">
        <f aca="false">E80/$E$266</f>
        <v>0.15943900515343</v>
      </c>
      <c r="H80" s="31" t="n">
        <f aca="false">(F80-F79)*(G80+G79)</f>
        <v>0.000802338266697053</v>
      </c>
      <c r="I80" s="32" t="n">
        <f aca="false">MIN(10,ROUNDUP(F80*10,0))</f>
        <v>4</v>
      </c>
    </row>
    <row r="81" customFormat="false" ht="15.75" hidden="false" customHeight="true" outlineLevel="0" collapsed="false">
      <c r="A81" s="29" t="n">
        <v>220000</v>
      </c>
      <c r="B81" s="29" t="n">
        <v>638</v>
      </c>
      <c r="C81" s="29" t="n">
        <f aca="false">A81*B81</f>
        <v>140360000</v>
      </c>
      <c r="D81" s="29" t="n">
        <f aca="false">SUM($B$3:B81)</f>
        <v>133063</v>
      </c>
      <c r="E81" s="29" t="n">
        <f aca="false">SUM($C$3:C81)</f>
        <v>21232570859.83</v>
      </c>
      <c r="F81" s="30" t="n">
        <f aca="false">D81/$D$266</f>
        <v>0.338892270547396</v>
      </c>
      <c r="G81" s="30" t="n">
        <f aca="false">E81/$E$266</f>
        <v>0.160500006245827</v>
      </c>
      <c r="H81" s="31" t="n">
        <f aca="false">(F81-F80)*(G81+G80)</f>
        <v>0.000519866975870403</v>
      </c>
      <c r="I81" s="32" t="n">
        <f aca="false">MIN(10,ROUNDUP(F81*10,0))</f>
        <v>4</v>
      </c>
    </row>
    <row r="82" customFormat="false" ht="15.75" hidden="false" customHeight="true" outlineLevel="0" collapsed="false">
      <c r="A82" s="29" t="n">
        <v>220830</v>
      </c>
      <c r="B82" s="29" t="n">
        <v>968</v>
      </c>
      <c r="C82" s="29" t="n">
        <f aca="false">A82*B82</f>
        <v>213763440</v>
      </c>
      <c r="D82" s="29" t="n">
        <f aca="false">SUM($B$3:B82)</f>
        <v>134031</v>
      </c>
      <c r="E82" s="29" t="n">
        <f aca="false">SUM($C$3:C82)</f>
        <v>21446334299.83</v>
      </c>
      <c r="F82" s="30" t="n">
        <f aca="false">D82/$D$266</f>
        <v>0.341357626941659</v>
      </c>
      <c r="G82" s="30" t="n">
        <f aca="false">E82/$E$266</f>
        <v>0.162115874323302</v>
      </c>
      <c r="H82" s="31" t="n">
        <f aca="false">(F82-F81)*(G82+G81)</f>
        <v>0.000795363124052029</v>
      </c>
      <c r="I82" s="32" t="n">
        <f aca="false">MIN(10,ROUNDUP(F82*10,0))</f>
        <v>4</v>
      </c>
    </row>
    <row r="83" customFormat="false" ht="15.75" hidden="false" customHeight="true" outlineLevel="0" collapsed="false">
      <c r="A83" s="29" t="n">
        <v>223287.67</v>
      </c>
      <c r="B83" s="29" t="n">
        <v>2178</v>
      </c>
      <c r="C83" s="29" t="n">
        <f aca="false">A83*B83</f>
        <v>486320545.26</v>
      </c>
      <c r="D83" s="29" t="n">
        <f aca="false">SUM($B$3:B83)</f>
        <v>136209</v>
      </c>
      <c r="E83" s="29" t="n">
        <f aca="false">SUM($C$3:C83)</f>
        <v>21932654845.09</v>
      </c>
      <c r="F83" s="30" t="n">
        <f aca="false">D83/$D$266</f>
        <v>0.346904678828752</v>
      </c>
      <c r="G83" s="30" t="n">
        <f aca="false">E83/$E$266</f>
        <v>0.165792040109678</v>
      </c>
      <c r="H83" s="31" t="n">
        <f aca="false">(F83-F82)*(G83+G82)</f>
        <v>0.00181892221554813</v>
      </c>
      <c r="I83" s="32" t="n">
        <f aca="false">MIN(10,ROUNDUP(F83*10,0))</f>
        <v>4</v>
      </c>
    </row>
    <row r="84" customFormat="false" ht="15.75" hidden="false" customHeight="true" outlineLevel="0" collapsed="false">
      <c r="A84" s="29" t="n">
        <v>225000</v>
      </c>
      <c r="B84" s="29" t="n">
        <v>4225</v>
      </c>
      <c r="C84" s="29" t="n">
        <f aca="false">A84*B84</f>
        <v>950625000</v>
      </c>
      <c r="D84" s="29" t="n">
        <f aca="false">SUM($B$3:B84)</f>
        <v>140434</v>
      </c>
      <c r="E84" s="29" t="n">
        <f aca="false">SUM($C$3:C84)</f>
        <v>22883279845.09</v>
      </c>
      <c r="F84" s="30" t="n">
        <f aca="false">D84/$D$266</f>
        <v>0.357665144495863</v>
      </c>
      <c r="G84" s="30" t="n">
        <f aca="false">E84/$E$266</f>
        <v>0.172977948940252</v>
      </c>
      <c r="H84" s="31" t="n">
        <f aca="false">(F84-F83)*(G84+G83)</f>
        <v>0.00364532283621921</v>
      </c>
      <c r="I84" s="32" t="n">
        <f aca="false">MIN(10,ROUNDUP(F84*10,0))</f>
        <v>4</v>
      </c>
    </row>
    <row r="85" customFormat="false" ht="15.75" hidden="false" customHeight="true" outlineLevel="0" collapsed="false">
      <c r="A85" s="29" t="n">
        <v>225454</v>
      </c>
      <c r="B85" s="29" t="n">
        <v>446</v>
      </c>
      <c r="C85" s="29" t="n">
        <f aca="false">A85*B85</f>
        <v>100552484</v>
      </c>
      <c r="D85" s="29" t="n">
        <f aca="false">SUM($B$3:B85)</f>
        <v>140880</v>
      </c>
      <c r="E85" s="29" t="n">
        <f aca="false">SUM($C$3:C85)</f>
        <v>22983832329.09</v>
      </c>
      <c r="F85" s="30" t="n">
        <f aca="false">D85/$D$266</f>
        <v>0.358801042173385</v>
      </c>
      <c r="G85" s="30" t="n">
        <f aca="false">E85/$E$266</f>
        <v>0.173738039388864</v>
      </c>
      <c r="H85" s="31" t="n">
        <f aca="false">(F85-F84)*(G85+G84)</f>
        <v>0.000393833885902857</v>
      </c>
      <c r="I85" s="32" t="n">
        <f aca="false">MIN(10,ROUNDUP(F85*10,0))</f>
        <v>4</v>
      </c>
    </row>
    <row r="86" customFormat="false" ht="15.75" hidden="false" customHeight="true" outlineLevel="0" collapsed="false">
      <c r="A86" s="29" t="n">
        <v>225600</v>
      </c>
      <c r="B86" s="29" t="n">
        <v>1705</v>
      </c>
      <c r="C86" s="29" t="n">
        <f aca="false">A86*B86</f>
        <v>384648000</v>
      </c>
      <c r="D86" s="29" t="n">
        <f aca="false">SUM($B$3:B86)</f>
        <v>142585</v>
      </c>
      <c r="E86" s="29" t="n">
        <f aca="false">SUM($C$3:C86)</f>
        <v>23368480329.09</v>
      </c>
      <c r="F86" s="30" t="n">
        <f aca="false">D86/$D$266</f>
        <v>0.363143431276917</v>
      </c>
      <c r="G86" s="30" t="n">
        <f aca="false">E86/$E$266</f>
        <v>0.176645648025142</v>
      </c>
      <c r="H86" s="31" t="n">
        <f aca="false">(F86-F85)*(G86+G85)</f>
        <v>0.00152150230628203</v>
      </c>
      <c r="I86" s="32" t="n">
        <f aca="false">MIN(10,ROUNDUP(F86*10,0))</f>
        <v>4</v>
      </c>
    </row>
    <row r="87" customFormat="false" ht="15.75" hidden="false" customHeight="true" outlineLevel="0" collapsed="false">
      <c r="A87" s="29" t="n">
        <v>225750</v>
      </c>
      <c r="B87" s="29" t="n">
        <v>2784</v>
      </c>
      <c r="C87" s="29" t="n">
        <f aca="false">A87*B87</f>
        <v>628488000</v>
      </c>
      <c r="D87" s="29" t="n">
        <f aca="false">SUM($B$3:B87)</f>
        <v>145369</v>
      </c>
      <c r="E87" s="29" t="n">
        <f aca="false">SUM($C$3:C87)</f>
        <v>23996968329.09</v>
      </c>
      <c r="F87" s="30" t="n">
        <f aca="false">D87/$D$266</f>
        <v>0.370233877766204</v>
      </c>
      <c r="G87" s="30" t="n">
        <f aca="false">E87/$E$266</f>
        <v>0.181396477709939</v>
      </c>
      <c r="H87" s="31" t="n">
        <f aca="false">(F87-F86)*(G87+G86)</f>
        <v>0.00253867853343505</v>
      </c>
      <c r="I87" s="32" t="n">
        <f aca="false">MIN(10,ROUNDUP(F87*10,0))</f>
        <v>4</v>
      </c>
    </row>
    <row r="88" customFormat="false" ht="15.75" hidden="false" customHeight="true" outlineLevel="0" collapsed="false">
      <c r="A88" s="29" t="n">
        <v>226666.67</v>
      </c>
      <c r="B88" s="29" t="n">
        <v>1128</v>
      </c>
      <c r="C88" s="29" t="n">
        <f aca="false">A88*B88</f>
        <v>255680003.76</v>
      </c>
      <c r="D88" s="29" t="n">
        <f aca="false">SUM($B$3:B88)</f>
        <v>146497</v>
      </c>
      <c r="E88" s="29" t="n">
        <f aca="false">SUM($C$3:C88)</f>
        <v>24252648332.85</v>
      </c>
      <c r="F88" s="30" t="n">
        <f aca="false">D88/$D$266</f>
        <v>0.373106731085139</v>
      </c>
      <c r="G88" s="30" t="n">
        <f aca="false">E88/$E$266</f>
        <v>0.183329199021518</v>
      </c>
      <c r="H88" s="31" t="n">
        <f aca="false">(F88-F87)*(G88+G87)</f>
        <v>0.00104780337089882</v>
      </c>
      <c r="I88" s="32" t="n">
        <f aca="false">MIN(10,ROUNDUP(F88*10,0))</f>
        <v>4</v>
      </c>
    </row>
    <row r="89" customFormat="false" ht="15.75" hidden="false" customHeight="true" outlineLevel="0" collapsed="false">
      <c r="A89" s="29" t="n">
        <v>226870.25</v>
      </c>
      <c r="B89" s="29" t="n">
        <v>1376</v>
      </c>
      <c r="C89" s="29" t="n">
        <f aca="false">A89*B89</f>
        <v>312173464</v>
      </c>
      <c r="D89" s="29" t="n">
        <f aca="false">SUM($B$3:B89)</f>
        <v>147873</v>
      </c>
      <c r="E89" s="29" t="n">
        <f aca="false">SUM($C$3:C89)</f>
        <v>24564821796.85</v>
      </c>
      <c r="F89" s="30" t="n">
        <f aca="false">D89/$D$266</f>
        <v>0.376611204637315</v>
      </c>
      <c r="G89" s="30" t="n">
        <f aca="false">E89/$E$266</f>
        <v>0.185688962389438</v>
      </c>
      <c r="H89" s="31" t="n">
        <f aca="false">(F89-F88)*(G89+G88)</f>
        <v>0.00129321438693736</v>
      </c>
      <c r="I89" s="32" t="n">
        <f aca="false">MIN(10,ROUNDUP(F89*10,0))</f>
        <v>4</v>
      </c>
    </row>
    <row r="90" customFormat="false" ht="15.75" hidden="false" customHeight="true" outlineLevel="0" collapsed="false">
      <c r="A90" s="29" t="n">
        <v>227556.67</v>
      </c>
      <c r="B90" s="29" t="n">
        <v>756</v>
      </c>
      <c r="C90" s="29" t="n">
        <f aca="false">A90*B90</f>
        <v>172032842.52</v>
      </c>
      <c r="D90" s="29" t="n">
        <f aca="false">SUM($B$3:B90)</f>
        <v>148629</v>
      </c>
      <c r="E90" s="29" t="n">
        <f aca="false">SUM($C$3:C90)</f>
        <v>24736854639.37</v>
      </c>
      <c r="F90" s="30" t="n">
        <f aca="false">D90/$D$266</f>
        <v>0.378536627606389</v>
      </c>
      <c r="G90" s="30" t="n">
        <f aca="false">E90/$E$266</f>
        <v>0.186989382978222</v>
      </c>
      <c r="H90" s="31" t="n">
        <f aca="false">(F90-F89)*(G90+G89)</f>
        <v>0.000717563446247199</v>
      </c>
      <c r="I90" s="32" t="n">
        <f aca="false">MIN(10,ROUNDUP(F90*10,0))</f>
        <v>4</v>
      </c>
    </row>
    <row r="91" customFormat="false" ht="15.75" hidden="false" customHeight="true" outlineLevel="0" collapsed="false">
      <c r="A91" s="29" t="n">
        <v>228000</v>
      </c>
      <c r="B91" s="29" t="n">
        <v>972</v>
      </c>
      <c r="C91" s="29" t="n">
        <f aca="false">A91*B91</f>
        <v>221616000</v>
      </c>
      <c r="D91" s="29" t="n">
        <f aca="false">SUM($B$3:B91)</f>
        <v>149601</v>
      </c>
      <c r="E91" s="29" t="n">
        <f aca="false">SUM($C$3:C91)</f>
        <v>24958470639.37</v>
      </c>
      <c r="F91" s="30" t="n">
        <f aca="false">D91/$D$266</f>
        <v>0.381012171423769</v>
      </c>
      <c r="G91" s="30" t="n">
        <f aca="false">E91/$E$266</f>
        <v>0.188664609667397</v>
      </c>
      <c r="H91" s="31" t="n">
        <f aca="false">(F91-F90)*(G91+G90)</f>
        <v>0.000929947918968087</v>
      </c>
      <c r="I91" s="32" t="n">
        <f aca="false">MIN(10,ROUNDUP(F91*10,0))</f>
        <v>4</v>
      </c>
    </row>
    <row r="92" customFormat="false" ht="15.75" hidden="false" customHeight="true" outlineLevel="0" collapsed="false">
      <c r="A92" s="29" t="n">
        <v>228250</v>
      </c>
      <c r="B92" s="29" t="n">
        <v>1380</v>
      </c>
      <c r="C92" s="29" t="n">
        <f aca="false">A92*B92</f>
        <v>314985000</v>
      </c>
      <c r="D92" s="29" t="n">
        <f aca="false">SUM($B$3:B92)</f>
        <v>150981</v>
      </c>
      <c r="E92" s="29" t="n">
        <f aca="false">SUM($C$3:C92)</f>
        <v>25273455639.37</v>
      </c>
      <c r="F92" s="30" t="n">
        <f aca="false">D92/$D$266</f>
        <v>0.384526832399062</v>
      </c>
      <c r="G92" s="30" t="n">
        <f aca="false">E92/$E$266</f>
        <v>0.191045625833601</v>
      </c>
      <c r="H92" s="31" t="n">
        <f aca="false">(F92-F91)*(G92+G91)</f>
        <v>0.00133455274663464</v>
      </c>
      <c r="I92" s="32" t="n">
        <f aca="false">MIN(10,ROUNDUP(F92*10,0))</f>
        <v>4</v>
      </c>
    </row>
    <row r="93" customFormat="false" ht="15.75" hidden="false" customHeight="true" outlineLevel="0" collapsed="false">
      <c r="A93" s="29" t="n">
        <v>231500</v>
      </c>
      <c r="B93" s="29" t="n">
        <v>1196</v>
      </c>
      <c r="C93" s="29" t="n">
        <f aca="false">A93*B93</f>
        <v>276874000</v>
      </c>
      <c r="D93" s="29" t="n">
        <f aca="false">SUM($B$3:B93)</f>
        <v>152177</v>
      </c>
      <c r="E93" s="29" t="n">
        <f aca="false">SUM($C$3:C93)</f>
        <v>25550329639.37</v>
      </c>
      <c r="F93" s="30" t="n">
        <f aca="false">D93/$D$266</f>
        <v>0.387572871910982</v>
      </c>
      <c r="G93" s="30" t="n">
        <f aca="false">E93/$E$266</f>
        <v>0.193138555560419</v>
      </c>
      <c r="H93" s="31" t="n">
        <f aca="false">(F93-F92)*(G93+G92)</f>
        <v>0.00117024019638104</v>
      </c>
      <c r="I93" s="32" t="n">
        <f aca="false">MIN(10,ROUNDUP(F93*10,0))</f>
        <v>4</v>
      </c>
    </row>
    <row r="94" customFormat="false" ht="15.75" hidden="false" customHeight="true" outlineLevel="0" collapsed="false">
      <c r="A94" s="29" t="n">
        <v>234178</v>
      </c>
      <c r="B94" s="29" t="n">
        <v>688</v>
      </c>
      <c r="C94" s="29" t="n">
        <f aca="false">A94*B94</f>
        <v>161114464</v>
      </c>
      <c r="D94" s="29" t="n">
        <f aca="false">SUM($B$3:B94)</f>
        <v>152865</v>
      </c>
      <c r="E94" s="29" t="n">
        <f aca="false">SUM($C$3:C94)</f>
        <v>25711444103.37</v>
      </c>
      <c r="F94" s="30" t="n">
        <f aca="false">D94/$D$266</f>
        <v>0.38932510868707</v>
      </c>
      <c r="G94" s="30" t="n">
        <f aca="false">E94/$E$266</f>
        <v>0.194356442581685</v>
      </c>
      <c r="H94" s="31" t="n">
        <f aca="false">(F94-F93)*(G94+G93)</f>
        <v>0.000678982986294786</v>
      </c>
      <c r="I94" s="32" t="n">
        <f aca="false">MIN(10,ROUNDUP(F94*10,0))</f>
        <v>4</v>
      </c>
    </row>
    <row r="95" customFormat="false" ht="15.75" hidden="false" customHeight="true" outlineLevel="0" collapsed="false">
      <c r="A95" s="29" t="n">
        <v>234666.67</v>
      </c>
      <c r="B95" s="29" t="n">
        <v>1992</v>
      </c>
      <c r="C95" s="29" t="n">
        <f aca="false">A95*B95</f>
        <v>467456006.64</v>
      </c>
      <c r="D95" s="29" t="n">
        <f aca="false">SUM($B$3:B95)</f>
        <v>154857</v>
      </c>
      <c r="E95" s="29" t="n">
        <f aca="false">SUM($C$3:C95)</f>
        <v>26178900110.01</v>
      </c>
      <c r="F95" s="30" t="n">
        <f aca="false">D95/$D$266</f>
        <v>0.394398445399232</v>
      </c>
      <c r="G95" s="30" t="n">
        <f aca="false">E95/$E$266</f>
        <v>0.197890008652448</v>
      </c>
      <c r="H95" s="31" t="n">
        <f aca="false">(F95-F94)*(G95+G94)</f>
        <v>0.00198999832126138</v>
      </c>
      <c r="I95" s="32" t="n">
        <f aca="false">MIN(10,ROUNDUP(F95*10,0))</f>
        <v>4</v>
      </c>
    </row>
    <row r="96" customFormat="false" ht="15.75" hidden="false" customHeight="true" outlineLevel="0" collapsed="false">
      <c r="A96" s="29" t="n">
        <v>234917.5</v>
      </c>
      <c r="B96" s="29" t="n">
        <v>2216</v>
      </c>
      <c r="C96" s="29" t="n">
        <f aca="false">A96*B96</f>
        <v>520577180</v>
      </c>
      <c r="D96" s="29" t="n">
        <f aca="false">SUM($B$3:B96)</f>
        <v>157073</v>
      </c>
      <c r="E96" s="29" t="n">
        <f aca="false">SUM($C$3:C96)</f>
        <v>26699477290.01</v>
      </c>
      <c r="F96" s="30" t="n">
        <f aca="false">D96/$D$266</f>
        <v>0.400042277805935</v>
      </c>
      <c r="G96" s="30" t="n">
        <f aca="false">E96/$E$266</f>
        <v>0.201825125186052</v>
      </c>
      <c r="H96" s="31" t="n">
        <f aca="false">(F96-F95)*(G96+G95)</f>
        <v>0.0022559252258071</v>
      </c>
      <c r="I96" s="32" t="n">
        <f aca="false">MIN(10,ROUNDUP(F96*10,0))</f>
        <v>5</v>
      </c>
    </row>
    <row r="97" customFormat="false" ht="15.75" hidden="false" customHeight="true" outlineLevel="0" collapsed="false">
      <c r="A97" s="29" t="n">
        <v>235000</v>
      </c>
      <c r="B97" s="29" t="n">
        <v>1752</v>
      </c>
      <c r="C97" s="29" t="n">
        <f aca="false">A97*B97</f>
        <v>411720000</v>
      </c>
      <c r="D97" s="29" t="n">
        <f aca="false">SUM($B$3:B97)</f>
        <v>158825</v>
      </c>
      <c r="E97" s="29" t="n">
        <f aca="false">SUM($C$3:C97)</f>
        <v>27111197290.01</v>
      </c>
      <c r="F97" s="30" t="n">
        <f aca="false">D97/$D$266</f>
        <v>0.404504369131089</v>
      </c>
      <c r="G97" s="30" t="n">
        <f aca="false">E97/$E$266</f>
        <v>0.204937374899371</v>
      </c>
      <c r="H97" s="31" t="n">
        <f aca="false">(F97-F96)*(G97+G96)</f>
        <v>0.00181501142302933</v>
      </c>
      <c r="I97" s="32" t="n">
        <f aca="false">MIN(10,ROUNDUP(F97*10,0))</f>
        <v>5</v>
      </c>
    </row>
    <row r="98" customFormat="false" ht="15.75" hidden="false" customHeight="true" outlineLevel="0" collapsed="false">
      <c r="A98" s="29" t="n">
        <v>236666.67</v>
      </c>
      <c r="B98" s="29" t="n">
        <v>930</v>
      </c>
      <c r="C98" s="29" t="n">
        <f aca="false">A98*B98</f>
        <v>220100003.1</v>
      </c>
      <c r="D98" s="29" t="n">
        <f aca="false">SUM($B$3:B98)</f>
        <v>159755</v>
      </c>
      <c r="E98" s="29" t="n">
        <f aca="false">SUM($C$3:C98)</f>
        <v>27331297293.11</v>
      </c>
      <c r="F98" s="30" t="n">
        <f aca="false">D98/$D$266</f>
        <v>0.406872945005743</v>
      </c>
      <c r="G98" s="30" t="n">
        <f aca="false">E98/$E$266</f>
        <v>0.206601141953557</v>
      </c>
      <c r="H98" s="31" t="n">
        <f aca="false">(F98-F97)*(G98+G97)</f>
        <v>0.000974760202508713</v>
      </c>
      <c r="I98" s="32" t="n">
        <f aca="false">MIN(10,ROUNDUP(F98*10,0))</f>
        <v>5</v>
      </c>
    </row>
    <row r="99" customFormat="false" ht="15.75" hidden="false" customHeight="true" outlineLevel="0" collapsed="false">
      <c r="A99" s="29" t="n">
        <v>237150.33</v>
      </c>
      <c r="B99" s="29" t="n">
        <v>792</v>
      </c>
      <c r="C99" s="29" t="n">
        <f aca="false">A99*B99</f>
        <v>187823061.36</v>
      </c>
      <c r="D99" s="29" t="n">
        <f aca="false">SUM($B$3:B99)</f>
        <v>160547</v>
      </c>
      <c r="E99" s="29" t="n">
        <f aca="false">SUM($C$3:C99)</f>
        <v>27519120354.47</v>
      </c>
      <c r="F99" s="30" t="n">
        <f aca="false">D99/$D$266</f>
        <v>0.408890054782868</v>
      </c>
      <c r="G99" s="30" t="n">
        <f aca="false">E99/$E$266</f>
        <v>0.208020923039908</v>
      </c>
      <c r="H99" s="31" t="n">
        <f aca="false">(F99-F98)*(G99+G98)</f>
        <v>0.000836338221109936</v>
      </c>
      <c r="I99" s="32" t="n">
        <f aca="false">MIN(10,ROUNDUP(F99*10,0))</f>
        <v>5</v>
      </c>
    </row>
    <row r="100" customFormat="false" ht="15.75" hidden="false" customHeight="true" outlineLevel="0" collapsed="false">
      <c r="A100" s="29" t="n">
        <v>237500</v>
      </c>
      <c r="B100" s="29" t="n">
        <v>2932</v>
      </c>
      <c r="C100" s="29" t="n">
        <f aca="false">A100*B100</f>
        <v>696350000</v>
      </c>
      <c r="D100" s="29" t="n">
        <f aca="false">SUM($B$3:B100)</f>
        <v>163479</v>
      </c>
      <c r="E100" s="29" t="n">
        <f aca="false">SUM($C$3:C100)</f>
        <v>28215470354.47</v>
      </c>
      <c r="F100" s="30" t="n">
        <f aca="false">D100/$D$266</f>
        <v>0.416357435927476</v>
      </c>
      <c r="G100" s="30" t="n">
        <f aca="false">E100/$E$266</f>
        <v>0.213284731181047</v>
      </c>
      <c r="H100" s="31" t="n">
        <f aca="false">(F100-F99)*(G100+G99)</f>
        <v>0.00314604989844627</v>
      </c>
      <c r="I100" s="32" t="n">
        <f aca="false">MIN(10,ROUNDUP(F100*10,0))</f>
        <v>5</v>
      </c>
    </row>
    <row r="101" customFormat="false" ht="15.75" hidden="false" customHeight="true" outlineLevel="0" collapsed="false">
      <c r="A101" s="29" t="n">
        <v>237666.67</v>
      </c>
      <c r="B101" s="29" t="n">
        <v>771</v>
      </c>
      <c r="C101" s="29" t="n">
        <f aca="false">A101*B101</f>
        <v>183241002.57</v>
      </c>
      <c r="D101" s="29" t="n">
        <f aca="false">SUM($B$3:B101)</f>
        <v>164250</v>
      </c>
      <c r="E101" s="29" t="n">
        <f aca="false">SUM($C$3:C101)</f>
        <v>28398711357.04</v>
      </c>
      <c r="F101" s="30" t="n">
        <f aca="false">D101/$D$266</f>
        <v>0.418321061733237</v>
      </c>
      <c r="G101" s="30" t="n">
        <f aca="false">E101/$E$266</f>
        <v>0.214669875836922</v>
      </c>
      <c r="H101" s="31" t="n">
        <f aca="false">(F101-F100)*(G101+G100)</f>
        <v>0.000840342710034998</v>
      </c>
      <c r="I101" s="32" t="n">
        <f aca="false">MIN(10,ROUNDUP(F101*10,0))</f>
        <v>5</v>
      </c>
    </row>
    <row r="102" customFormat="false" ht="15.75" hidden="false" customHeight="true" outlineLevel="0" collapsed="false">
      <c r="A102" s="29" t="n">
        <v>239333.33</v>
      </c>
      <c r="B102" s="29" t="n">
        <v>1188</v>
      </c>
      <c r="C102" s="29" t="n">
        <f aca="false">A102*B102</f>
        <v>284327996.04</v>
      </c>
      <c r="D102" s="29" t="n">
        <f aca="false">SUM($B$3:B102)</f>
        <v>165438</v>
      </c>
      <c r="E102" s="29" t="n">
        <f aca="false">SUM($C$3:C102)</f>
        <v>28683039353.08</v>
      </c>
      <c r="F102" s="30" t="n">
        <f aca="false">D102/$D$266</f>
        <v>0.421346726398924</v>
      </c>
      <c r="G102" s="30" t="n">
        <f aca="false">E102/$E$266</f>
        <v>0.216819151374093</v>
      </c>
      <c r="H102" s="31" t="n">
        <f aca="false">(F102-F101)*(G102+G101)</f>
        <v>0.00130554110326402</v>
      </c>
      <c r="I102" s="32" t="n">
        <f aca="false">MIN(10,ROUNDUP(F102*10,0))</f>
        <v>5</v>
      </c>
    </row>
    <row r="103" customFormat="false" ht="15.75" hidden="false" customHeight="true" outlineLevel="0" collapsed="false">
      <c r="A103" s="29" t="n">
        <v>241000</v>
      </c>
      <c r="B103" s="29" t="n">
        <v>355</v>
      </c>
      <c r="C103" s="29" t="n">
        <f aca="false">A103*B103</f>
        <v>85555000</v>
      </c>
      <c r="D103" s="29" t="n">
        <f aca="false">SUM($B$3:B103)</f>
        <v>165793</v>
      </c>
      <c r="E103" s="29" t="n">
        <f aca="false">SUM($C$3:C103)</f>
        <v>28768594353.08</v>
      </c>
      <c r="F103" s="30" t="n">
        <f aca="false">D103/$D$266</f>
        <v>0.422250860200539</v>
      </c>
      <c r="G103" s="30" t="n">
        <f aca="false">E103/$E$266</f>
        <v>0.217465873719918</v>
      </c>
      <c r="H103" s="31" t="n">
        <f aca="false">(F103-F102)*(G103+G102)</f>
        <v>0.000392651770722797</v>
      </c>
      <c r="I103" s="32" t="n">
        <f aca="false">MIN(10,ROUNDUP(F103*10,0))</f>
        <v>5</v>
      </c>
    </row>
    <row r="104" customFormat="false" ht="15.75" hidden="false" customHeight="true" outlineLevel="0" collapsed="false">
      <c r="A104" s="29" t="n">
        <v>242000</v>
      </c>
      <c r="B104" s="29" t="n">
        <v>257</v>
      </c>
      <c r="C104" s="29" t="n">
        <f aca="false">A104*B104</f>
        <v>62194000</v>
      </c>
      <c r="D104" s="29" t="n">
        <f aca="false">SUM($B$3:B104)</f>
        <v>166050</v>
      </c>
      <c r="E104" s="29" t="n">
        <f aca="false">SUM($C$3:C104)</f>
        <v>28830788353.08</v>
      </c>
      <c r="F104" s="30" t="n">
        <f aca="false">D104/$D$266</f>
        <v>0.422905402135793</v>
      </c>
      <c r="G104" s="30" t="n">
        <f aca="false">E104/$E$266</f>
        <v>0.217936006962583</v>
      </c>
      <c r="H104" s="31" t="n">
        <f aca="false">(F104-F103)*(G104+G103)</f>
        <v>0.00028498878959508</v>
      </c>
      <c r="I104" s="32" t="n">
        <f aca="false">MIN(10,ROUNDUP(F104*10,0))</f>
        <v>5</v>
      </c>
    </row>
    <row r="105" customFormat="false" ht="15.75" hidden="false" customHeight="true" outlineLevel="0" collapsed="false">
      <c r="A105" s="29" t="n">
        <v>242666.67</v>
      </c>
      <c r="B105" s="29" t="n">
        <v>2208</v>
      </c>
      <c r="C105" s="29" t="n">
        <f aca="false">A105*B105</f>
        <v>535808007.36</v>
      </c>
      <c r="D105" s="29" t="n">
        <f aca="false">SUM($B$3:B105)</f>
        <v>168258</v>
      </c>
      <c r="E105" s="29" t="n">
        <f aca="false">SUM($C$3:C105)</f>
        <v>29366596360.44</v>
      </c>
      <c r="F105" s="30" t="n">
        <f aca="false">D105/$D$266</f>
        <v>0.428528859696262</v>
      </c>
      <c r="G105" s="30" t="n">
        <f aca="false">E105/$E$266</f>
        <v>0.221986255474436</v>
      </c>
      <c r="H105" s="31" t="n">
        <f aca="false">(F105-F104)*(G105+G104)</f>
        <v>0.00247388417271996</v>
      </c>
      <c r="I105" s="32" t="n">
        <f aca="false">MIN(10,ROUNDUP(F105*10,0))</f>
        <v>5</v>
      </c>
    </row>
    <row r="106" customFormat="false" ht="15.75" hidden="false" customHeight="true" outlineLevel="0" collapsed="false">
      <c r="A106" s="29" t="n">
        <v>242800</v>
      </c>
      <c r="B106" s="29" t="n">
        <v>1875</v>
      </c>
      <c r="C106" s="29" t="n">
        <f aca="false">A106*B106</f>
        <v>455250000</v>
      </c>
      <c r="D106" s="29" t="n">
        <f aca="false">SUM($B$3:B106)</f>
        <v>170133</v>
      </c>
      <c r="E106" s="29" t="n">
        <f aca="false">SUM($C$3:C106)</f>
        <v>29821846360.44</v>
      </c>
      <c r="F106" s="30" t="n">
        <f aca="false">D106/$D$266</f>
        <v>0.433304214282258</v>
      </c>
      <c r="G106" s="30" t="n">
        <f aca="false">E106/$E$266</f>
        <v>0.225427554614601</v>
      </c>
      <c r="H106" s="31" t="n">
        <f aca="false">(F106-F105)*(G106+G105)</f>
        <v>0.00213655958984657</v>
      </c>
      <c r="I106" s="32" t="n">
        <f aca="false">MIN(10,ROUNDUP(F106*10,0))</f>
        <v>5</v>
      </c>
    </row>
    <row r="107" customFormat="false" ht="15.75" hidden="false" customHeight="true" outlineLevel="0" collapsed="false">
      <c r="A107" s="29" t="n">
        <v>243000</v>
      </c>
      <c r="B107" s="29" t="n">
        <v>804</v>
      </c>
      <c r="C107" s="29" t="n">
        <f aca="false">A107*B107</f>
        <v>195372000</v>
      </c>
      <c r="D107" s="29" t="n">
        <f aca="false">SUM($B$3:B107)</f>
        <v>170937</v>
      </c>
      <c r="E107" s="29" t="n">
        <f aca="false">SUM($C$3:C107)</f>
        <v>30017218360.44</v>
      </c>
      <c r="F107" s="30" t="n">
        <f aca="false">D107/$D$266</f>
        <v>0.435351886328733</v>
      </c>
      <c r="G107" s="30" t="n">
        <f aca="false">E107/$E$266</f>
        <v>0.226904399195847</v>
      </c>
      <c r="H107" s="31" t="n">
        <f aca="false">(F107-F106)*(G107+G106)</f>
        <v>0.00092622749754507</v>
      </c>
      <c r="I107" s="32" t="n">
        <f aca="false">MIN(10,ROUNDUP(F107*10,0))</f>
        <v>5</v>
      </c>
    </row>
    <row r="108" customFormat="false" ht="15.75" hidden="false" customHeight="true" outlineLevel="0" collapsed="false">
      <c r="A108" s="29" t="n">
        <v>246513.33</v>
      </c>
      <c r="B108" s="29" t="n">
        <v>1662</v>
      </c>
      <c r="C108" s="29" t="n">
        <f aca="false">A108*B108</f>
        <v>409705154.46</v>
      </c>
      <c r="D108" s="29" t="n">
        <f aca="false">SUM($B$3:B108)</f>
        <v>172599</v>
      </c>
      <c r="E108" s="29" t="n">
        <f aca="false">SUM($C$3:C108)</f>
        <v>30426923514.9</v>
      </c>
      <c r="F108" s="30" t="n">
        <f aca="false">D108/$D$266</f>
        <v>0.43958476063376</v>
      </c>
      <c r="G108" s="30" t="n">
        <f aca="false">E108/$E$266</f>
        <v>0.230001418406751</v>
      </c>
      <c r="H108" s="31" t="n">
        <f aca="false">(F108-F107)*(G108+G107)</f>
        <v>0.00193402489514729</v>
      </c>
      <c r="I108" s="32" t="n">
        <f aca="false">MIN(10,ROUNDUP(F108*10,0))</f>
        <v>5</v>
      </c>
    </row>
    <row r="109" customFormat="false" ht="15.75" hidden="false" customHeight="true" outlineLevel="0" collapsed="false">
      <c r="A109" s="29" t="n">
        <v>249400</v>
      </c>
      <c r="B109" s="29" t="n">
        <v>1900</v>
      </c>
      <c r="C109" s="29" t="n">
        <f aca="false">A109*B109</f>
        <v>473860000</v>
      </c>
      <c r="D109" s="29" t="n">
        <f aca="false">SUM($B$3:B109)</f>
        <v>174499</v>
      </c>
      <c r="E109" s="29" t="n">
        <f aca="false">SUM($C$3:C109)</f>
        <v>30900783514.9</v>
      </c>
      <c r="F109" s="30" t="n">
        <f aca="false">D109/$D$266</f>
        <v>0.444423786614235</v>
      </c>
      <c r="G109" s="30" t="n">
        <f aca="false">E109/$E$266</f>
        <v>0.233583393169098</v>
      </c>
      <c r="H109" s="31" t="n">
        <f aca="false">(F109-F108)*(G109+G108)</f>
        <v>0.00224329894736949</v>
      </c>
      <c r="I109" s="32" t="n">
        <f aca="false">MIN(10,ROUNDUP(F109*10,0))</f>
        <v>5</v>
      </c>
    </row>
    <row r="110" customFormat="false" ht="15.75" hidden="false" customHeight="true" outlineLevel="0" collapsed="false">
      <c r="A110" s="29" t="n">
        <v>249546.67</v>
      </c>
      <c r="B110" s="29" t="n">
        <v>783</v>
      </c>
      <c r="C110" s="29" t="n">
        <f aca="false">A110*B110</f>
        <v>195395042.61</v>
      </c>
      <c r="D110" s="29" t="n">
        <f aca="false">SUM($B$3:B110)</f>
        <v>175282</v>
      </c>
      <c r="E110" s="29" t="n">
        <f aca="false">SUM($C$3:C110)</f>
        <v>31096178557.51</v>
      </c>
      <c r="F110" s="30" t="n">
        <f aca="false">D110/$D$266</f>
        <v>0.446417974689347</v>
      </c>
      <c r="G110" s="30" t="n">
        <f aca="false">E110/$E$266</f>
        <v>0.235060411932692</v>
      </c>
      <c r="H110" s="31" t="n">
        <f aca="false">(F110-F109)*(G110+G109)</f>
        <v>0.000934563887609039</v>
      </c>
      <c r="I110" s="32" t="n">
        <f aca="false">MIN(10,ROUNDUP(F110*10,0))</f>
        <v>5</v>
      </c>
    </row>
    <row r="111" customFormat="false" ht="15.75" hidden="false" customHeight="true" outlineLevel="0" collapsed="false">
      <c r="A111" s="29" t="n">
        <v>250000</v>
      </c>
      <c r="B111" s="29" t="n">
        <v>3692</v>
      </c>
      <c r="C111" s="29" t="n">
        <f aca="false">A111*B111</f>
        <v>923000000</v>
      </c>
      <c r="D111" s="29" t="n">
        <f aca="false">SUM($B$3:B111)</f>
        <v>178974</v>
      </c>
      <c r="E111" s="29" t="n">
        <f aca="false">SUM($C$3:C111)</f>
        <v>32019178557.51</v>
      </c>
      <c r="F111" s="30" t="n">
        <f aca="false">D111/$D$266</f>
        <v>0.455820966226146</v>
      </c>
      <c r="G111" s="30" t="n">
        <f aca="false">E111/$E$266</f>
        <v>0.242037499481009</v>
      </c>
      <c r="H111" s="31" t="n">
        <f aca="false">(F111-F110)*(G111+G110)</f>
        <v>0.00448614762324715</v>
      </c>
      <c r="I111" s="32" t="n">
        <f aca="false">MIN(10,ROUNDUP(F111*10,0))</f>
        <v>5</v>
      </c>
    </row>
    <row r="112" customFormat="false" ht="15.75" hidden="false" customHeight="true" outlineLevel="0" collapsed="false">
      <c r="A112" s="29" t="n">
        <v>253240.5</v>
      </c>
      <c r="B112" s="29" t="n">
        <v>710</v>
      </c>
      <c r="C112" s="29" t="n">
        <f aca="false">A112*B112</f>
        <v>179800755</v>
      </c>
      <c r="D112" s="29" t="n">
        <f aca="false">SUM($B$3:B112)</f>
        <v>179684</v>
      </c>
      <c r="E112" s="29" t="n">
        <f aca="false">SUM($C$3:C112)</f>
        <v>32198979312.51</v>
      </c>
      <c r="F112" s="30" t="n">
        <f aca="false">D112/$D$266</f>
        <v>0.457629233829376</v>
      </c>
      <c r="G112" s="30" t="n">
        <f aca="false">E112/$E$266</f>
        <v>0.243396638818917</v>
      </c>
      <c r="H112" s="31" t="n">
        <f aca="false">(F112-F111)*(G112+G111)</f>
        <v>0.000877794825789842</v>
      </c>
      <c r="I112" s="32" t="n">
        <f aca="false">MIN(10,ROUNDUP(F112*10,0))</f>
        <v>5</v>
      </c>
    </row>
    <row r="113" customFormat="false" ht="15.75" hidden="false" customHeight="true" outlineLevel="0" collapsed="false">
      <c r="A113" s="29" t="n">
        <v>253333.33</v>
      </c>
      <c r="B113" s="29" t="n">
        <v>1326</v>
      </c>
      <c r="C113" s="29" t="n">
        <f aca="false">A113*B113</f>
        <v>335919995.58</v>
      </c>
      <c r="D113" s="29" t="n">
        <f aca="false">SUM($B$3:B113)</f>
        <v>181010</v>
      </c>
      <c r="E113" s="29" t="n">
        <f aca="false">SUM($C$3:C113)</f>
        <v>32534899308.09</v>
      </c>
      <c r="F113" s="30" t="n">
        <f aca="false">D113/$D$266</f>
        <v>0.461006364592592</v>
      </c>
      <c r="G113" s="30" t="n">
        <f aca="false">E113/$E$266</f>
        <v>0.245935905577738</v>
      </c>
      <c r="H113" s="31" t="n">
        <f aca="false">(F113-F112)*(G113+G112)</f>
        <v>0.00165253998912484</v>
      </c>
      <c r="I113" s="32" t="n">
        <f aca="false">MIN(10,ROUNDUP(F113*10,0))</f>
        <v>5</v>
      </c>
    </row>
    <row r="114" customFormat="false" ht="15.75" hidden="false" customHeight="true" outlineLevel="0" collapsed="false">
      <c r="A114" s="29" t="n">
        <v>256666.67</v>
      </c>
      <c r="B114" s="29" t="n">
        <v>1092</v>
      </c>
      <c r="C114" s="29" t="n">
        <f aca="false">A114*B114</f>
        <v>280280003.64</v>
      </c>
      <c r="D114" s="29" t="n">
        <f aca="false">SUM($B$3:B114)</f>
        <v>182102</v>
      </c>
      <c r="E114" s="29" t="n">
        <f aca="false">SUM($C$3:C114)</f>
        <v>32815179311.73</v>
      </c>
      <c r="F114" s="30" t="n">
        <f aca="false">D114/$D$266</f>
        <v>0.463787531103476</v>
      </c>
      <c r="G114" s="30" t="n">
        <f aca="false">E114/$E$266</f>
        <v>0.248054581767813</v>
      </c>
      <c r="H114" s="31" t="n">
        <f aca="false">(F114-F113)*(G114+G113)</f>
        <v>0.00137386980010072</v>
      </c>
      <c r="I114" s="32" t="n">
        <f aca="false">MIN(10,ROUNDUP(F114*10,0))</f>
        <v>5</v>
      </c>
    </row>
    <row r="115" customFormat="false" ht="15.75" hidden="false" customHeight="true" outlineLevel="0" collapsed="false">
      <c r="A115" s="29" t="n">
        <v>260000</v>
      </c>
      <c r="B115" s="29" t="n">
        <v>3055</v>
      </c>
      <c r="C115" s="29" t="n">
        <f aca="false">A115*B115</f>
        <v>794300000</v>
      </c>
      <c r="D115" s="29" t="n">
        <f aca="false">SUM($B$3:B115)</f>
        <v>185157</v>
      </c>
      <c r="E115" s="29" t="n">
        <f aca="false">SUM($C$3:C115)</f>
        <v>33609479311.73</v>
      </c>
      <c r="F115" s="30" t="n">
        <f aca="false">D115/$D$266</f>
        <v>0.471568175508925</v>
      </c>
      <c r="G115" s="30" t="n">
        <f aca="false">E115/$E$266</f>
        <v>0.254058807812915</v>
      </c>
      <c r="H115" s="31" t="n">
        <f aca="false">(F115-F114)*(G115+G114)</f>
        <v>0.00390676573554245</v>
      </c>
      <c r="I115" s="32" t="n">
        <f aca="false">MIN(10,ROUNDUP(F115*10,0))</f>
        <v>5</v>
      </c>
    </row>
    <row r="116" customFormat="false" ht="15.75" hidden="false" customHeight="true" outlineLevel="0" collapsed="false">
      <c r="A116" s="29" t="n">
        <v>260500</v>
      </c>
      <c r="B116" s="29" t="n">
        <v>1398</v>
      </c>
      <c r="C116" s="29" t="n">
        <f aca="false">A116*B116</f>
        <v>364179000</v>
      </c>
      <c r="D116" s="29" t="n">
        <f aca="false">SUM($B$3:B116)</f>
        <v>186555</v>
      </c>
      <c r="E116" s="29" t="n">
        <f aca="false">SUM($C$3:C116)</f>
        <v>33973658311.73</v>
      </c>
      <c r="F116" s="30" t="n">
        <f aca="false">D116/$D$266</f>
        <v>0.475128679888244</v>
      </c>
      <c r="G116" s="30" t="n">
        <f aca="false">E116/$E$266</f>
        <v>0.256811688383076</v>
      </c>
      <c r="H116" s="31" t="n">
        <f aca="false">(F116-F115)*(G116+G115)</f>
        <v>0.00181895663897046</v>
      </c>
      <c r="I116" s="32" t="n">
        <f aca="false">MIN(10,ROUNDUP(F116*10,0))</f>
        <v>5</v>
      </c>
    </row>
    <row r="117" customFormat="false" ht="15.75" hidden="false" customHeight="true" outlineLevel="0" collapsed="false">
      <c r="A117" s="29" t="n">
        <v>263151.6</v>
      </c>
      <c r="B117" s="29" t="n">
        <v>1925</v>
      </c>
      <c r="C117" s="29" t="n">
        <f aca="false">A117*B117</f>
        <v>506566830</v>
      </c>
      <c r="D117" s="29" t="n">
        <f aca="false">SUM($B$3:B117)</f>
        <v>188480</v>
      </c>
      <c r="E117" s="29" t="n">
        <f aca="false">SUM($C$3:C117)</f>
        <v>34480225141.73</v>
      </c>
      <c r="F117" s="30" t="n">
        <f aca="false">D117/$D$266</f>
        <v>0.4800313772632</v>
      </c>
      <c r="G117" s="30" t="n">
        <f aca="false">E117/$E$266</f>
        <v>0.260640898699419</v>
      </c>
      <c r="H117" s="31" t="n">
        <f aca="false">(F117-F116)*(G117+G116)</f>
        <v>0.00253691344035341</v>
      </c>
      <c r="I117" s="32" t="n">
        <f aca="false">MIN(10,ROUNDUP(F117*10,0))</f>
        <v>5</v>
      </c>
    </row>
    <row r="118" customFormat="false" ht="15.75" hidden="false" customHeight="true" outlineLevel="0" collapsed="false">
      <c r="A118" s="29" t="n">
        <v>263750</v>
      </c>
      <c r="B118" s="29" t="n">
        <v>1300</v>
      </c>
      <c r="C118" s="29" t="n">
        <f aca="false">A118*B118</f>
        <v>342875000</v>
      </c>
      <c r="D118" s="29" t="n">
        <f aca="false">SUM($B$3:B118)</f>
        <v>189780</v>
      </c>
      <c r="E118" s="29" t="n">
        <f aca="false">SUM($C$3:C118)</f>
        <v>34823100141.73</v>
      </c>
      <c r="F118" s="30" t="n">
        <f aca="false">D118/$D$266</f>
        <v>0.483342289776157</v>
      </c>
      <c r="G118" s="30" t="n">
        <f aca="false">E118/$E$266</f>
        <v>0.263232739320361</v>
      </c>
      <c r="H118" s="31" t="n">
        <f aca="false">(F118-F117)*(G118+G117)</f>
        <v>0.00173449978332806</v>
      </c>
      <c r="I118" s="32" t="n">
        <f aca="false">MIN(10,ROUNDUP(F118*10,0))</f>
        <v>5</v>
      </c>
    </row>
    <row r="119" customFormat="false" ht="15.75" hidden="false" customHeight="true" outlineLevel="0" collapsed="false">
      <c r="A119" s="29" t="n">
        <v>264000</v>
      </c>
      <c r="B119" s="29" t="n">
        <v>1248</v>
      </c>
      <c r="C119" s="29" t="n">
        <f aca="false">A119*B119</f>
        <v>329472000</v>
      </c>
      <c r="D119" s="29" t="n">
        <f aca="false">SUM($B$3:B119)</f>
        <v>191028</v>
      </c>
      <c r="E119" s="29" t="n">
        <f aca="false">SUM($C$3:C119)</f>
        <v>35152572141.73</v>
      </c>
      <c r="F119" s="30" t="n">
        <f aca="false">D119/$D$266</f>
        <v>0.486520765788596</v>
      </c>
      <c r="G119" s="30" t="n">
        <f aca="false">E119/$E$266</f>
        <v>0.265723264768594</v>
      </c>
      <c r="H119" s="31" t="n">
        <f aca="false">(F119-F118)*(G119+G118)</f>
        <v>0.00168127397063226</v>
      </c>
      <c r="I119" s="32" t="n">
        <f aca="false">MIN(10,ROUNDUP(F119*10,0))</f>
        <v>5</v>
      </c>
    </row>
    <row r="120" customFormat="false" ht="15.75" hidden="false" customHeight="true" outlineLevel="0" collapsed="false">
      <c r="A120" s="29" t="n">
        <v>264600</v>
      </c>
      <c r="B120" s="29" t="n">
        <v>1425</v>
      </c>
      <c r="C120" s="29" t="n">
        <f aca="false">A120*B120</f>
        <v>377055000</v>
      </c>
      <c r="D120" s="29" t="n">
        <f aca="false">SUM($B$3:B120)</f>
        <v>192453</v>
      </c>
      <c r="E120" s="29" t="n">
        <f aca="false">SUM($C$3:C120)</f>
        <v>35529627141.73</v>
      </c>
      <c r="F120" s="30" t="n">
        <f aca="false">D120/$D$266</f>
        <v>0.490150035273953</v>
      </c>
      <c r="G120" s="30" t="n">
        <f aca="false">E120/$E$266</f>
        <v>0.268573476843926</v>
      </c>
      <c r="H120" s="31" t="n">
        <f aca="false">(F120-F119)*(G120+G119)</f>
        <v>0.00193910686045992</v>
      </c>
      <c r="I120" s="32" t="n">
        <f aca="false">MIN(10,ROUNDUP(F120*10,0))</f>
        <v>5</v>
      </c>
    </row>
    <row r="121" customFormat="false" ht="15.75" hidden="false" customHeight="true" outlineLevel="0" collapsed="false">
      <c r="A121" s="29" t="n">
        <v>270000</v>
      </c>
      <c r="B121" s="29" t="n">
        <v>987</v>
      </c>
      <c r="C121" s="29" t="n">
        <f aca="false">A121*B121</f>
        <v>266490000</v>
      </c>
      <c r="D121" s="29" t="n">
        <f aca="false">SUM($B$3:B121)</f>
        <v>193440</v>
      </c>
      <c r="E121" s="29" t="n">
        <f aca="false">SUM($C$3:C121)</f>
        <v>35796117141.73</v>
      </c>
      <c r="F121" s="30" t="n">
        <f aca="false">D121/$D$266</f>
        <v>0.492663781928021</v>
      </c>
      <c r="G121" s="30" t="n">
        <f aca="false">E121/$E$266</f>
        <v>0.27058791244604</v>
      </c>
      <c r="H121" s="31" t="n">
        <f aca="false">(F121-F120)*(G121+G120)</f>
        <v>0.0013553151383304</v>
      </c>
      <c r="I121" s="32" t="n">
        <f aca="false">MIN(10,ROUNDUP(F121*10,0))</f>
        <v>5</v>
      </c>
    </row>
    <row r="122" customFormat="false" ht="15.75" hidden="false" customHeight="true" outlineLevel="0" collapsed="false">
      <c r="A122" s="29" t="n">
        <v>275000</v>
      </c>
      <c r="B122" s="29" t="n">
        <v>2326</v>
      </c>
      <c r="C122" s="29" t="n">
        <f aca="false">A122*B122</f>
        <v>639650000</v>
      </c>
      <c r="D122" s="29" t="n">
        <f aca="false">SUM($B$3:B122)</f>
        <v>195766</v>
      </c>
      <c r="E122" s="29" t="n">
        <f aca="false">SUM($C$3:C122)</f>
        <v>36435767141.73</v>
      </c>
      <c r="F122" s="30" t="n">
        <f aca="false">D122/$D$266</f>
        <v>0.498587768470435</v>
      </c>
      <c r="G122" s="30" t="n">
        <f aca="false">E122/$E$266</f>
        <v>0.27542311726758</v>
      </c>
      <c r="H122" s="31" t="n">
        <f aca="false">(F122-F121)*(G122+G121)</f>
        <v>0.00323456199203315</v>
      </c>
      <c r="I122" s="32" t="n">
        <f aca="false">MIN(10,ROUNDUP(F122*10,0))</f>
        <v>5</v>
      </c>
    </row>
    <row r="123" customFormat="false" ht="15.75" hidden="false" customHeight="true" outlineLevel="0" collapsed="false">
      <c r="A123" s="29" t="n">
        <v>276666.67</v>
      </c>
      <c r="B123" s="29" t="n">
        <v>1374</v>
      </c>
      <c r="C123" s="29" t="n">
        <f aca="false">A123*B123</f>
        <v>380140004.58</v>
      </c>
      <c r="D123" s="29" t="n">
        <f aca="false">SUM($B$3:B123)</f>
        <v>197140</v>
      </c>
      <c r="E123" s="29" t="n">
        <f aca="false">SUM($C$3:C123)</f>
        <v>36815907146.31</v>
      </c>
      <c r="F123" s="30" t="n">
        <f aca="false">D123/$D$266</f>
        <v>0.502087148311053</v>
      </c>
      <c r="G123" s="30" t="n">
        <f aca="false">E123/$E$266</f>
        <v>0.278296649328872</v>
      </c>
      <c r="H123" s="31" t="n">
        <f aca="false">(F123-F122)*(G123+G122)</f>
        <v>0.0019376757885792</v>
      </c>
      <c r="I123" s="32" t="n">
        <f aca="false">MIN(10,ROUNDUP(F123*10,0))</f>
        <v>6</v>
      </c>
    </row>
    <row r="124" customFormat="false" ht="15.75" hidden="false" customHeight="true" outlineLevel="0" collapsed="false">
      <c r="A124" s="29" t="n">
        <v>276864</v>
      </c>
      <c r="B124" s="29" t="n">
        <v>2040</v>
      </c>
      <c r="C124" s="29" t="n">
        <f aca="false">A124*B124</f>
        <v>564802560</v>
      </c>
      <c r="D124" s="29" t="n">
        <f aca="false">SUM($B$3:B124)</f>
        <v>199180</v>
      </c>
      <c r="E124" s="29" t="n">
        <f aca="false">SUM($C$3:C124)</f>
        <v>37380709706.31</v>
      </c>
      <c r="F124" s="30" t="n">
        <f aca="false">D124/$D$266</f>
        <v>0.507282734100616</v>
      </c>
      <c r="G124" s="30" t="n">
        <f aca="false">E124/$E$266</f>
        <v>0.282566071765095</v>
      </c>
      <c r="H124" s="31" t="n">
        <f aca="false">(F124-F123)*(G124+G123)</f>
        <v>0.00291401038361172</v>
      </c>
      <c r="I124" s="32" t="n">
        <f aca="false">MIN(10,ROUNDUP(F124*10,0))</f>
        <v>6</v>
      </c>
    </row>
    <row r="125" customFormat="false" ht="15.75" hidden="false" customHeight="true" outlineLevel="0" collapsed="false">
      <c r="A125" s="29" t="n">
        <v>278250</v>
      </c>
      <c r="B125" s="29" t="n">
        <v>1332</v>
      </c>
      <c r="C125" s="29" t="n">
        <f aca="false">A125*B125</f>
        <v>370629000</v>
      </c>
      <c r="D125" s="29" t="n">
        <f aca="false">SUM($B$3:B125)</f>
        <v>200512</v>
      </c>
      <c r="E125" s="29" t="n">
        <f aca="false">SUM($C$3:C125)</f>
        <v>37751338706.31</v>
      </c>
      <c r="F125" s="30" t="n">
        <f aca="false">D125/$D$266</f>
        <v>0.510675145998508</v>
      </c>
      <c r="G125" s="30" t="n">
        <f aca="false">E125/$E$266</f>
        <v>0.285367708797539</v>
      </c>
      <c r="H125" s="31" t="n">
        <f aca="false">(F125-F124)*(G125+G124)</f>
        <v>0.00192666531439513</v>
      </c>
      <c r="I125" s="32" t="n">
        <f aca="false">MIN(10,ROUNDUP(F125*10,0))</f>
        <v>6</v>
      </c>
    </row>
    <row r="126" customFormat="false" ht="15.75" hidden="false" customHeight="true" outlineLevel="0" collapsed="false">
      <c r="A126" s="29" t="n">
        <v>280000</v>
      </c>
      <c r="B126" s="29" t="n">
        <v>1415</v>
      </c>
      <c r="C126" s="29" t="n">
        <f aca="false">A126*B126</f>
        <v>396200000</v>
      </c>
      <c r="D126" s="29" t="n">
        <f aca="false">SUM($B$3:B126)</f>
        <v>201927</v>
      </c>
      <c r="E126" s="29" t="n">
        <f aca="false">SUM($C$3:C126)</f>
        <v>38147538706.31</v>
      </c>
      <c r="F126" s="30" t="n">
        <f aca="false">D126/$D$266</f>
        <v>0.514278946926073</v>
      </c>
      <c r="G126" s="30" t="n">
        <f aca="false">E126/$E$266</f>
        <v>0.288362640635723</v>
      </c>
      <c r="H126" s="31" t="n">
        <f aca="false">(F126-F125)*(G126+G125)</f>
        <v>0.00206760996545976</v>
      </c>
      <c r="I126" s="32" t="n">
        <f aca="false">MIN(10,ROUNDUP(F126*10,0))</f>
        <v>6</v>
      </c>
    </row>
    <row r="127" customFormat="false" ht="15.75" hidden="false" customHeight="true" outlineLevel="0" collapsed="false">
      <c r="A127" s="29" t="n">
        <v>285000</v>
      </c>
      <c r="B127" s="29" t="n">
        <v>642</v>
      </c>
      <c r="C127" s="29" t="n">
        <f aca="false">A127*B127</f>
        <v>182970000</v>
      </c>
      <c r="D127" s="29" t="n">
        <f aca="false">SUM($B$3:B127)</f>
        <v>202569</v>
      </c>
      <c r="E127" s="29" t="n">
        <f aca="false">SUM($C$3:C127)</f>
        <v>38330508706.31</v>
      </c>
      <c r="F127" s="30" t="n">
        <f aca="false">D127/$D$266</f>
        <v>0.515914028336317</v>
      </c>
      <c r="G127" s="30" t="n">
        <f aca="false">E127/$E$266</f>
        <v>0.28974573674484</v>
      </c>
      <c r="H127" s="31" t="n">
        <f aca="false">(F127-F126)*(G127+G126)</f>
        <v>0.00094525426096182</v>
      </c>
      <c r="I127" s="32" t="n">
        <f aca="false">MIN(10,ROUNDUP(F127*10,0))</f>
        <v>6</v>
      </c>
    </row>
    <row r="128" customFormat="false" ht="15.75" hidden="false" customHeight="true" outlineLevel="0" collapsed="false">
      <c r="A128" s="29" t="n">
        <v>288666.67</v>
      </c>
      <c r="B128" s="29" t="n">
        <v>1056</v>
      </c>
      <c r="C128" s="29" t="n">
        <f aca="false">A128*B128</f>
        <v>304832003.52</v>
      </c>
      <c r="D128" s="29" t="n">
        <f aca="false">SUM($B$3:B128)</f>
        <v>203625</v>
      </c>
      <c r="E128" s="29" t="n">
        <f aca="false">SUM($C$3:C128)</f>
        <v>38635340709.83</v>
      </c>
      <c r="F128" s="30" t="n">
        <f aca="false">D128/$D$266</f>
        <v>0.51860350803915</v>
      </c>
      <c r="G128" s="30" t="n">
        <f aca="false">E128/$E$266</f>
        <v>0.292050004974622</v>
      </c>
      <c r="H128" s="31" t="n">
        <f aca="false">(F128-F127)*(G128+G127)</f>
        <v>0.00156472783854907</v>
      </c>
      <c r="I128" s="32" t="n">
        <f aca="false">MIN(10,ROUNDUP(F128*10,0))</f>
        <v>6</v>
      </c>
    </row>
    <row r="129" customFormat="false" ht="15.75" hidden="false" customHeight="true" outlineLevel="0" collapsed="false">
      <c r="A129" s="29" t="n">
        <v>292270</v>
      </c>
      <c r="B129" s="29" t="n">
        <v>498</v>
      </c>
      <c r="C129" s="29" t="n">
        <f aca="false">A129*B129</f>
        <v>145550460</v>
      </c>
      <c r="D129" s="29" t="n">
        <f aca="false">SUM($B$3:B129)</f>
        <v>204123</v>
      </c>
      <c r="E129" s="29" t="n">
        <f aca="false">SUM($C$3:C129)</f>
        <v>38780891169.83</v>
      </c>
      <c r="F129" s="30" t="n">
        <f aca="false">D129/$D$266</f>
        <v>0.519871842217191</v>
      </c>
      <c r="G129" s="30" t="n">
        <f aca="false">E129/$E$266</f>
        <v>0.293150241488292</v>
      </c>
      <c r="H129" s="31" t="n">
        <f aca="false">(F129-F128)*(G129+G128)</f>
        <v>0.000742229473586644</v>
      </c>
      <c r="I129" s="32" t="n">
        <f aca="false">MIN(10,ROUNDUP(F129*10,0))</f>
        <v>6</v>
      </c>
    </row>
    <row r="130" customFormat="false" ht="15.75" hidden="false" customHeight="true" outlineLevel="0" collapsed="false">
      <c r="A130" s="29" t="n">
        <v>292500</v>
      </c>
      <c r="B130" s="29" t="n">
        <v>1412</v>
      </c>
      <c r="C130" s="29" t="n">
        <f aca="false">A130*B130</f>
        <v>413010000</v>
      </c>
      <c r="D130" s="29" t="n">
        <f aca="false">SUM($B$3:B130)</f>
        <v>205535</v>
      </c>
      <c r="E130" s="29" t="n">
        <f aca="false">SUM($C$3:C130)</f>
        <v>39193901169.83</v>
      </c>
      <c r="F130" s="30" t="n">
        <f aca="false">D130/$D$266</f>
        <v>0.523468002577418</v>
      </c>
      <c r="G130" s="30" t="n">
        <f aca="false">E130/$E$266</f>
        <v>0.296272242494068</v>
      </c>
      <c r="H130" s="31" t="n">
        <f aca="false">(F130-F129)*(G130+G129)</f>
        <v>0.00211965777232411</v>
      </c>
      <c r="I130" s="32" t="n">
        <f aca="false">MIN(10,ROUNDUP(F130*10,0))</f>
        <v>6</v>
      </c>
    </row>
    <row r="131" customFormat="false" ht="15.75" hidden="false" customHeight="true" outlineLevel="0" collapsed="false">
      <c r="A131" s="29" t="n">
        <v>292887.5</v>
      </c>
      <c r="B131" s="29" t="n">
        <v>1372</v>
      </c>
      <c r="C131" s="29" t="n">
        <f aca="false">A131*B131</f>
        <v>401841650</v>
      </c>
      <c r="D131" s="29" t="n">
        <f aca="false">SUM($B$3:B131)</f>
        <v>206907</v>
      </c>
      <c r="E131" s="29" t="n">
        <f aca="false">SUM($C$3:C131)</f>
        <v>39595742819.83</v>
      </c>
      <c r="F131" s="30" t="n">
        <f aca="false">D131/$D$266</f>
        <v>0.526962288706477</v>
      </c>
      <c r="G131" s="30" t="n">
        <f aca="false">E131/$E$266</f>
        <v>0.299309820362552</v>
      </c>
      <c r="H131" s="31" t="n">
        <f aca="false">(F131-F130)*(G131+G130)</f>
        <v>0.00208113414095643</v>
      </c>
      <c r="I131" s="32" t="n">
        <f aca="false">MIN(10,ROUNDUP(F131*10,0))</f>
        <v>6</v>
      </c>
    </row>
    <row r="132" customFormat="false" ht="15.75" hidden="false" customHeight="true" outlineLevel="0" collapsed="false">
      <c r="A132" s="29" t="n">
        <v>293750</v>
      </c>
      <c r="B132" s="29" t="n">
        <v>1504</v>
      </c>
      <c r="C132" s="29" t="n">
        <f aca="false">A132*B132</f>
        <v>441800000</v>
      </c>
      <c r="D132" s="29" t="n">
        <f aca="false">SUM($B$3:B132)</f>
        <v>208411</v>
      </c>
      <c r="E132" s="29" t="n">
        <f aca="false">SUM($C$3:C132)</f>
        <v>40037542819.83</v>
      </c>
      <c r="F132" s="30" t="n">
        <f aca="false">D132/$D$266</f>
        <v>0.530792759798391</v>
      </c>
      <c r="G132" s="30" t="n">
        <f aca="false">E132/$E$266</f>
        <v>0.30264944905036</v>
      </c>
      <c r="H132" s="31" t="n">
        <f aca="false">(F132-F131)*(G132+G131)</f>
        <v>0.00230578757999552</v>
      </c>
      <c r="I132" s="32" t="n">
        <f aca="false">MIN(10,ROUNDUP(F132*10,0))</f>
        <v>6</v>
      </c>
    </row>
    <row r="133" customFormat="false" ht="15.75" hidden="false" customHeight="true" outlineLevel="0" collapsed="false">
      <c r="A133" s="29" t="n">
        <v>295000</v>
      </c>
      <c r="B133" s="29" t="n">
        <v>2130</v>
      </c>
      <c r="C133" s="29" t="n">
        <f aca="false">A133*B133</f>
        <v>628350000</v>
      </c>
      <c r="D133" s="29" t="n">
        <f aca="false">SUM($B$3:B133)</f>
        <v>210541</v>
      </c>
      <c r="E133" s="29" t="n">
        <f aca="false">SUM($C$3:C133)</f>
        <v>40665892819.83</v>
      </c>
      <c r="F133" s="30" t="n">
        <f aca="false">D133/$D$266</f>
        <v>0.536217562608082</v>
      </c>
      <c r="G133" s="30" t="n">
        <f aca="false">E133/$E$266</f>
        <v>0.307399235573638</v>
      </c>
      <c r="H133" s="31" t="n">
        <f aca="false">(F133-F132)*(G133+G132)</f>
        <v>0.00330939381839672</v>
      </c>
      <c r="I133" s="32" t="n">
        <f aca="false">MIN(10,ROUNDUP(F133*10,0))</f>
        <v>6</v>
      </c>
    </row>
    <row r="134" customFormat="false" ht="15.75" hidden="false" customHeight="true" outlineLevel="0" collapsed="false">
      <c r="A134" s="29" t="n">
        <v>298500</v>
      </c>
      <c r="B134" s="29" t="n">
        <v>478</v>
      </c>
      <c r="C134" s="29" t="n">
        <f aca="false">A134*B134</f>
        <v>142683000</v>
      </c>
      <c r="D134" s="29" t="n">
        <f aca="false">SUM($B$3:B134)</f>
        <v>211019</v>
      </c>
      <c r="E134" s="29" t="n">
        <f aca="false">SUM($C$3:C134)</f>
        <v>40808575819.83</v>
      </c>
      <c r="F134" s="30" t="n">
        <f aca="false">D134/$D$266</f>
        <v>0.537434959670539</v>
      </c>
      <c r="G134" s="30" t="n">
        <f aca="false">E134/$E$266</f>
        <v>0.308477796551597</v>
      </c>
      <c r="H134" s="31" t="n">
        <f aca="false">(F134-F133)*(G134+G133)</f>
        <v>0.000749766889743753</v>
      </c>
      <c r="I134" s="32" t="n">
        <f aca="false">MIN(10,ROUNDUP(F134*10,0))</f>
        <v>6</v>
      </c>
    </row>
    <row r="135" customFormat="false" ht="15.75" hidden="false" customHeight="true" outlineLevel="0" collapsed="false">
      <c r="A135" s="29" t="n">
        <v>299500</v>
      </c>
      <c r="B135" s="29" t="n">
        <v>1280</v>
      </c>
      <c r="C135" s="29" t="n">
        <f aca="false">A135*B135</f>
        <v>383360000</v>
      </c>
      <c r="D135" s="29" t="n">
        <f aca="false">SUM($B$3:B135)</f>
        <v>212299</v>
      </c>
      <c r="E135" s="29" t="n">
        <f aca="false">SUM($C$3:C135)</f>
        <v>41191935819.83</v>
      </c>
      <c r="F135" s="30" t="n">
        <f aca="false">D135/$D$266</f>
        <v>0.540694935067912</v>
      </c>
      <c r="G135" s="30" t="n">
        <f aca="false">E135/$E$266</f>
        <v>0.311375669013703</v>
      </c>
      <c r="H135" s="31" t="n">
        <f aca="false">(F135-F134)*(G135+G134)</f>
        <v>0.00202070704771934</v>
      </c>
      <c r="I135" s="32" t="n">
        <f aca="false">MIN(10,ROUNDUP(F135*10,0))</f>
        <v>6</v>
      </c>
    </row>
    <row r="136" customFormat="false" ht="15.75" hidden="false" customHeight="true" outlineLevel="0" collapsed="false">
      <c r="A136" s="29" t="n">
        <v>300000</v>
      </c>
      <c r="B136" s="29" t="n">
        <v>12360</v>
      </c>
      <c r="C136" s="29" t="n">
        <f aca="false">A136*B136</f>
        <v>3708000000</v>
      </c>
      <c r="D136" s="29" t="n">
        <f aca="false">SUM($B$3:B136)</f>
        <v>224659</v>
      </c>
      <c r="E136" s="29" t="n">
        <f aca="false">SUM($C$3:C136)</f>
        <v>44899935819.83</v>
      </c>
      <c r="F136" s="30" t="n">
        <f aca="false">D136/$D$266</f>
        <v>0.572174072498797</v>
      </c>
      <c r="G136" s="30" t="n">
        <f aca="false">E136/$E$266</f>
        <v>0.33940496547</v>
      </c>
      <c r="H136" s="31" t="n">
        <f aca="false">(F136-F135)*(G136+G135)</f>
        <v>0.0204860130302708</v>
      </c>
      <c r="I136" s="32" t="n">
        <f aca="false">MIN(10,ROUNDUP(F136*10,0))</f>
        <v>6</v>
      </c>
    </row>
    <row r="137" customFormat="false" ht="15.75" hidden="false" customHeight="true" outlineLevel="0" collapsed="false">
      <c r="A137" s="29" t="n">
        <v>302000</v>
      </c>
      <c r="B137" s="29" t="n">
        <v>1520</v>
      </c>
      <c r="C137" s="29" t="n">
        <f aca="false">A137*B137</f>
        <v>459040000</v>
      </c>
      <c r="D137" s="29" t="n">
        <f aca="false">SUM($B$3:B137)</f>
        <v>226179</v>
      </c>
      <c r="E137" s="29" t="n">
        <f aca="false">SUM($C$3:C137)</f>
        <v>45358975819.83</v>
      </c>
      <c r="F137" s="30" t="n">
        <f aca="false">D137/$D$266</f>
        <v>0.576045293283177</v>
      </c>
      <c r="G137" s="30" t="n">
        <f aca="false">E137/$E$266</f>
        <v>0.342874913756219</v>
      </c>
      <c r="H137" s="31" t="n">
        <f aca="false">(F137-F136)*(G137+G136)</f>
        <v>0.00264125604922524</v>
      </c>
      <c r="I137" s="32" t="n">
        <f aca="false">MIN(10,ROUNDUP(F137*10,0))</f>
        <v>6</v>
      </c>
    </row>
    <row r="138" customFormat="false" ht="15.75" hidden="false" customHeight="true" outlineLevel="0" collapsed="false">
      <c r="A138" s="29" t="n">
        <v>303000</v>
      </c>
      <c r="B138" s="29" t="n">
        <v>652</v>
      </c>
      <c r="C138" s="29" t="n">
        <f aca="false">A138*B138</f>
        <v>197556000</v>
      </c>
      <c r="D138" s="29" t="n">
        <f aca="false">SUM($B$3:B138)</f>
        <v>226831</v>
      </c>
      <c r="E138" s="29" t="n">
        <f aca="false">SUM($C$3:C138)</f>
        <v>45556531819.83</v>
      </c>
      <c r="F138" s="30" t="n">
        <f aca="false">D138/$D$266</f>
        <v>0.577705843251214</v>
      </c>
      <c r="G138" s="30" t="n">
        <f aca="false">E138/$E$266</f>
        <v>0.344368267502368</v>
      </c>
      <c r="H138" s="31" t="n">
        <f aca="false">(F138-F137)*(G138+G137)</f>
        <v>0.00114120164267259</v>
      </c>
      <c r="I138" s="32" t="n">
        <f aca="false">MIN(10,ROUNDUP(F138*10,0))</f>
        <v>6</v>
      </c>
    </row>
    <row r="139" customFormat="false" ht="15.75" hidden="false" customHeight="true" outlineLevel="0" collapsed="false">
      <c r="A139" s="29" t="n">
        <v>304000</v>
      </c>
      <c r="B139" s="29" t="n">
        <v>169</v>
      </c>
      <c r="C139" s="29" t="n">
        <f aca="false">A139*B139</f>
        <v>51376000</v>
      </c>
      <c r="D139" s="29" t="n">
        <f aca="false">SUM($B$3:B139)</f>
        <v>227000</v>
      </c>
      <c r="E139" s="29" t="n">
        <f aca="false">SUM($C$3:C139)</f>
        <v>45607907819.83</v>
      </c>
      <c r="F139" s="30" t="n">
        <f aca="false">D139/$D$266</f>
        <v>0.578136261877899</v>
      </c>
      <c r="G139" s="30" t="n">
        <f aca="false">E139/$E$266</f>
        <v>0.344756625952945</v>
      </c>
      <c r="H139" s="31" t="n">
        <f aca="false">(F139-F138)*(G139+G138)</f>
        <v>0.000296612190255118</v>
      </c>
      <c r="I139" s="32" t="n">
        <f aca="false">MIN(10,ROUNDUP(F139*10,0))</f>
        <v>6</v>
      </c>
    </row>
    <row r="140" customFormat="false" ht="15.75" hidden="false" customHeight="true" outlineLevel="0" collapsed="false">
      <c r="A140" s="29" t="n">
        <v>304540</v>
      </c>
      <c r="B140" s="29" t="n">
        <v>1043</v>
      </c>
      <c r="C140" s="29" t="n">
        <f aca="false">A140*B140</f>
        <v>317635220</v>
      </c>
      <c r="D140" s="29" t="n">
        <f aca="false">SUM($B$3:B140)</f>
        <v>228043</v>
      </c>
      <c r="E140" s="29" t="n">
        <f aca="false">SUM($C$3:C140)</f>
        <v>45925543039.83</v>
      </c>
      <c r="F140" s="30" t="n">
        <f aca="false">D140/$D$266</f>
        <v>0.580792632455602</v>
      </c>
      <c r="G140" s="30" t="n">
        <f aca="false">E140/$E$266</f>
        <v>0.347157675506974</v>
      </c>
      <c r="H140" s="31" t="n">
        <f aca="false">(F140-F139)*(G140+G139)</f>
        <v>0.00183798079269026</v>
      </c>
      <c r="I140" s="32" t="n">
        <f aca="false">MIN(10,ROUNDUP(F140*10,0))</f>
        <v>6</v>
      </c>
    </row>
    <row r="141" customFormat="false" ht="15.75" hidden="false" customHeight="true" outlineLevel="0" collapsed="false">
      <c r="A141" s="29" t="n">
        <v>306666.67</v>
      </c>
      <c r="B141" s="29" t="n">
        <v>816</v>
      </c>
      <c r="C141" s="29" t="n">
        <f aca="false">A141*B141</f>
        <v>250240002.72</v>
      </c>
      <c r="D141" s="29" t="n">
        <f aca="false">SUM($B$3:B141)</f>
        <v>228859</v>
      </c>
      <c r="E141" s="29" t="n">
        <f aca="false">SUM($C$3:C141)</f>
        <v>46175783042.55</v>
      </c>
      <c r="F141" s="30" t="n">
        <f aca="false">D141/$D$266</f>
        <v>0.582870866771427</v>
      </c>
      <c r="G141" s="30" t="n">
        <f aca="false">E141/$E$266</f>
        <v>0.349049275081263</v>
      </c>
      <c r="H141" s="31" t="n">
        <f aca="false">(F141-F140)*(G141+G140)</f>
        <v>0.00144688117562858</v>
      </c>
      <c r="I141" s="32" t="n">
        <f aca="false">MIN(10,ROUNDUP(F141*10,0))</f>
        <v>6</v>
      </c>
    </row>
    <row r="142" customFormat="false" ht="15.75" hidden="false" customHeight="true" outlineLevel="0" collapsed="false">
      <c r="A142" s="29" t="n">
        <v>310000</v>
      </c>
      <c r="B142" s="29" t="n">
        <v>1096</v>
      </c>
      <c r="C142" s="29" t="n">
        <f aca="false">A142*B142</f>
        <v>339760000</v>
      </c>
      <c r="D142" s="29" t="n">
        <f aca="false">SUM($B$3:B142)</f>
        <v>229955</v>
      </c>
      <c r="E142" s="29" t="n">
        <f aca="false">SUM($C$3:C142)</f>
        <v>46515543042.55</v>
      </c>
      <c r="F142" s="30" t="n">
        <f aca="false">D142/$D$266</f>
        <v>0.585662220705428</v>
      </c>
      <c r="G142" s="30" t="n">
        <f aca="false">E142/$E$266</f>
        <v>0.351617568976623</v>
      </c>
      <c r="H142" s="31" t="n">
        <f aca="false">(F142-F141)*(G142+G141)</f>
        <v>0.00195580915158488</v>
      </c>
      <c r="I142" s="32" t="n">
        <f aca="false">MIN(10,ROUNDUP(F142*10,0))</f>
        <v>6</v>
      </c>
    </row>
    <row r="143" customFormat="false" ht="15.75" hidden="false" customHeight="true" outlineLevel="0" collapsed="false">
      <c r="A143" s="29" t="n">
        <v>312456</v>
      </c>
      <c r="B143" s="29" t="n">
        <v>920</v>
      </c>
      <c r="C143" s="29" t="n">
        <f aca="false">A143*B143</f>
        <v>287459520</v>
      </c>
      <c r="D143" s="29" t="n">
        <f aca="false">SUM($B$3:B143)</f>
        <v>230875</v>
      </c>
      <c r="E143" s="29" t="n">
        <f aca="false">SUM($C$3:C143)</f>
        <v>46803002562.55</v>
      </c>
      <c r="F143" s="30" t="n">
        <f aca="false">D143/$D$266</f>
        <v>0.58800532802229</v>
      </c>
      <c r="G143" s="30" t="n">
        <f aca="false">E143/$E$266</f>
        <v>0.353790516146327</v>
      </c>
      <c r="H143" s="31" t="n">
        <f aca="false">(F143-F142)*(G143+G142)</f>
        <v>0.00165284684562523</v>
      </c>
      <c r="I143" s="32" t="n">
        <f aca="false">MIN(10,ROUNDUP(F143*10,0))</f>
        <v>6</v>
      </c>
    </row>
    <row r="144" customFormat="false" ht="15.75" hidden="false" customHeight="true" outlineLevel="0" collapsed="false">
      <c r="A144" s="29" t="n">
        <v>314000</v>
      </c>
      <c r="B144" s="29" t="n">
        <v>1714</v>
      </c>
      <c r="C144" s="29" t="n">
        <f aca="false">A144*B144</f>
        <v>538196000</v>
      </c>
      <c r="D144" s="29" t="n">
        <f aca="false">SUM($B$3:B144)</f>
        <v>232589</v>
      </c>
      <c r="E144" s="29" t="n">
        <f aca="false">SUM($C$3:C144)</f>
        <v>47341198562.55</v>
      </c>
      <c r="F144" s="30" t="n">
        <f aca="false">D144/$D$266</f>
        <v>0.592370638827835</v>
      </c>
      <c r="G144" s="30" t="n">
        <f aca="false">E144/$E$266</f>
        <v>0.357858815832302</v>
      </c>
      <c r="H144" s="31" t="n">
        <f aca="false">(F144-F143)*(G144+G143)</f>
        <v>0.00310657051864521</v>
      </c>
      <c r="I144" s="32" t="n">
        <f aca="false">MIN(10,ROUNDUP(F144*10,0))</f>
        <v>6</v>
      </c>
    </row>
    <row r="145" customFormat="false" ht="15.75" hidden="false" customHeight="true" outlineLevel="0" collapsed="false">
      <c r="A145" s="29" t="n">
        <v>314320</v>
      </c>
      <c r="B145" s="29" t="n">
        <v>406</v>
      </c>
      <c r="C145" s="29" t="n">
        <f aca="false">A145*B145</f>
        <v>127613920</v>
      </c>
      <c r="D145" s="29" t="n">
        <f aca="false">SUM($B$3:B145)</f>
        <v>232995</v>
      </c>
      <c r="E145" s="29" t="n">
        <f aca="false">SUM($C$3:C145)</f>
        <v>47468812482.55</v>
      </c>
      <c r="F145" s="30" t="n">
        <f aca="false">D145/$D$266</f>
        <v>0.593404662274189</v>
      </c>
      <c r="G145" s="30" t="n">
        <f aca="false">E145/$E$266</f>
        <v>0.358823467503184</v>
      </c>
      <c r="H145" s="31" t="n">
        <f aca="false">(F145-F144)*(G145+G144)</f>
        <v>0.000741066284555615</v>
      </c>
      <c r="I145" s="32" t="n">
        <f aca="false">MIN(10,ROUNDUP(F145*10,0))</f>
        <v>6</v>
      </c>
    </row>
    <row r="146" customFormat="false" ht="15.75" hidden="false" customHeight="true" outlineLevel="0" collapsed="false">
      <c r="A146" s="29" t="n">
        <v>316250</v>
      </c>
      <c r="B146" s="29" t="n">
        <v>1328</v>
      </c>
      <c r="C146" s="29" t="n">
        <f aca="false">A146*B146</f>
        <v>419980000</v>
      </c>
      <c r="D146" s="29" t="n">
        <f aca="false">SUM($B$3:B146)</f>
        <v>234323</v>
      </c>
      <c r="E146" s="29" t="n">
        <f aca="false">SUM($C$3:C146)</f>
        <v>47888792482.55</v>
      </c>
      <c r="F146" s="30" t="n">
        <f aca="false">D146/$D$266</f>
        <v>0.596786886748964</v>
      </c>
      <c r="G146" s="30" t="n">
        <f aca="false">E146/$E$266</f>
        <v>0.36199815572479</v>
      </c>
      <c r="H146" s="31" t="n">
        <f aca="false">(F146-F145)*(G146+G145)</f>
        <v>0.00243798053602845</v>
      </c>
      <c r="I146" s="32" t="n">
        <f aca="false">MIN(10,ROUNDUP(F146*10,0))</f>
        <v>6</v>
      </c>
    </row>
    <row r="147" customFormat="false" ht="15.75" hidden="false" customHeight="true" outlineLevel="0" collapsed="false">
      <c r="A147" s="29" t="n">
        <v>316666.67</v>
      </c>
      <c r="B147" s="29" t="n">
        <v>1458</v>
      </c>
      <c r="C147" s="29" t="n">
        <f aca="false">A147*B147</f>
        <v>461700004.86</v>
      </c>
      <c r="D147" s="29" t="n">
        <f aca="false">SUM($B$3:B147)</f>
        <v>235781</v>
      </c>
      <c r="E147" s="29" t="n">
        <f aca="false">SUM($C$3:C147)</f>
        <v>48350492487.41</v>
      </c>
      <c r="F147" s="30" t="n">
        <f aca="false">D147/$D$266</f>
        <v>0.600500202475034</v>
      </c>
      <c r="G147" s="30" t="n">
        <f aca="false">E147/$E$266</f>
        <v>0.365488211363974</v>
      </c>
      <c r="H147" s="31" t="n">
        <f aca="false">(F147-F146)*(G147+G146)</f>
        <v>0.00270138656741251</v>
      </c>
      <c r="I147" s="32" t="n">
        <f aca="false">MIN(10,ROUNDUP(F147*10,0))</f>
        <v>7</v>
      </c>
    </row>
    <row r="148" customFormat="false" ht="15.75" hidden="false" customHeight="true" outlineLevel="0" collapsed="false">
      <c r="A148" s="29" t="n">
        <v>325000</v>
      </c>
      <c r="B148" s="29" t="n">
        <v>1152</v>
      </c>
      <c r="C148" s="29" t="n">
        <f aca="false">A148*B148</f>
        <v>374400000</v>
      </c>
      <c r="D148" s="29" t="n">
        <f aca="false">SUM($B$3:B148)</f>
        <v>236933</v>
      </c>
      <c r="E148" s="29" t="n">
        <f aca="false">SUM($C$3:C148)</f>
        <v>48724892487.41</v>
      </c>
      <c r="F148" s="30" t="n">
        <f aca="false">D148/$D$266</f>
        <v>0.60343418033267</v>
      </c>
      <c r="G148" s="30" t="n">
        <f aca="false">E148/$E$266</f>
        <v>0.368318353918785</v>
      </c>
      <c r="H148" s="31" t="n">
        <f aca="false">(F148-F147)*(G148+G147)</f>
        <v>0.00215297221432742</v>
      </c>
      <c r="I148" s="32" t="n">
        <f aca="false">MIN(10,ROUNDUP(F148*10,0))</f>
        <v>7</v>
      </c>
    </row>
    <row r="149" customFormat="false" ht="15.75" hidden="false" customHeight="true" outlineLevel="0" collapsed="false">
      <c r="A149" s="29" t="n">
        <v>327635</v>
      </c>
      <c r="B149" s="29" t="n">
        <v>322</v>
      </c>
      <c r="C149" s="29" t="n">
        <f aca="false">A149*B149</f>
        <v>105498470</v>
      </c>
      <c r="D149" s="29" t="n">
        <f aca="false">SUM($B$3:B149)</f>
        <v>237255</v>
      </c>
      <c r="E149" s="29" t="n">
        <f aca="false">SUM($C$3:C149)</f>
        <v>48830390957.41</v>
      </c>
      <c r="F149" s="30" t="n">
        <f aca="false">D149/$D$266</f>
        <v>0.604254267893572</v>
      </c>
      <c r="G149" s="30" t="n">
        <f aca="false">E149/$E$266</f>
        <v>0.369115831775127</v>
      </c>
      <c r="H149" s="31" t="n">
        <f aca="false">(F149-F148)*(G149+G148)</f>
        <v>0.000604760602671239</v>
      </c>
      <c r="I149" s="32" t="n">
        <f aca="false">MIN(10,ROUNDUP(F149*10,0))</f>
        <v>7</v>
      </c>
    </row>
    <row r="150" customFormat="false" ht="15.75" hidden="false" customHeight="true" outlineLevel="0" collapsed="false">
      <c r="A150" s="29" t="n">
        <v>332000</v>
      </c>
      <c r="B150" s="29" t="n">
        <v>446</v>
      </c>
      <c r="C150" s="29" t="n">
        <f aca="false">A150*B150</f>
        <v>148072000</v>
      </c>
      <c r="D150" s="29" t="n">
        <f aca="false">SUM($B$3:B150)</f>
        <v>237701</v>
      </c>
      <c r="E150" s="29" t="n">
        <f aca="false">SUM($C$3:C150)</f>
        <v>48978462957.41</v>
      </c>
      <c r="F150" s="30" t="n">
        <f aca="false">D150/$D$266</f>
        <v>0.605390165571094</v>
      </c>
      <c r="G150" s="30" t="n">
        <f aca="false">E150/$E$266</f>
        <v>0.370235128966302</v>
      </c>
      <c r="H150" s="31" t="n">
        <f aca="false">(F150-F149)*(G150+G149)</f>
        <v>0.000839827039179997</v>
      </c>
      <c r="I150" s="32" t="n">
        <f aca="false">MIN(10,ROUNDUP(F150*10,0))</f>
        <v>7</v>
      </c>
    </row>
    <row r="151" customFormat="false" ht="15.75" hidden="false" customHeight="true" outlineLevel="0" collapsed="false">
      <c r="A151" s="29" t="n">
        <v>333333.33</v>
      </c>
      <c r="B151" s="29" t="n">
        <v>957</v>
      </c>
      <c r="C151" s="29" t="n">
        <f aca="false">A151*B151</f>
        <v>318999996.81</v>
      </c>
      <c r="D151" s="29" t="n">
        <f aca="false">SUM($B$3:B151)</f>
        <v>238658</v>
      </c>
      <c r="E151" s="29" t="n">
        <f aca="false">SUM($C$3:C151)</f>
        <v>49297462954.22</v>
      </c>
      <c r="F151" s="30" t="n">
        <f aca="false">D151/$D$266</f>
        <v>0.607827506551787</v>
      </c>
      <c r="G151" s="30" t="n">
        <f aca="false">E151/$E$266</f>
        <v>0.372646495061271</v>
      </c>
      <c r="H151" s="31" t="n">
        <f aca="false">(F151-F150)*(G151+G150)</f>
        <v>0.00181065582604571</v>
      </c>
      <c r="I151" s="32" t="n">
        <f aca="false">MIN(10,ROUNDUP(F151*10,0))</f>
        <v>7</v>
      </c>
    </row>
    <row r="152" customFormat="false" ht="15.75" hidden="false" customHeight="true" outlineLevel="0" collapsed="false">
      <c r="A152" s="29" t="n">
        <v>335000</v>
      </c>
      <c r="B152" s="29" t="n">
        <v>898</v>
      </c>
      <c r="C152" s="29" t="n">
        <f aca="false">A152*B152</f>
        <v>300830000</v>
      </c>
      <c r="D152" s="29" t="n">
        <f aca="false">SUM($B$3:B152)</f>
        <v>239556</v>
      </c>
      <c r="E152" s="29" t="n">
        <f aca="false">SUM($C$3:C152)</f>
        <v>49598292954.22</v>
      </c>
      <c r="F152" s="30" t="n">
        <f aca="false">D152/$D$266</f>
        <v>0.610114583041506</v>
      </c>
      <c r="G152" s="30" t="n">
        <f aca="false">E152/$E$266</f>
        <v>0.374920511580405</v>
      </c>
      <c r="H152" s="31" t="n">
        <f aca="false">(F152-F151)*(G152+G151)</f>
        <v>0.00170974292538023</v>
      </c>
      <c r="I152" s="32" t="n">
        <f aca="false">MIN(10,ROUNDUP(F152*10,0))</f>
        <v>7</v>
      </c>
    </row>
    <row r="153" customFormat="false" ht="15.75" hidden="false" customHeight="true" outlineLevel="0" collapsed="false">
      <c r="A153" s="29" t="n">
        <v>335250</v>
      </c>
      <c r="B153" s="29" t="n">
        <v>1684</v>
      </c>
      <c r="C153" s="29" t="n">
        <f aca="false">A153*B153</f>
        <v>564561000</v>
      </c>
      <c r="D153" s="29" t="n">
        <f aca="false">SUM($B$3:B153)</f>
        <v>241240</v>
      </c>
      <c r="E153" s="29" t="n">
        <f aca="false">SUM($C$3:C153)</f>
        <v>50162853954.22</v>
      </c>
      <c r="F153" s="30" t="n">
        <f aca="false">D153/$D$266</f>
        <v>0.614403488173675</v>
      </c>
      <c r="G153" s="30" t="n">
        <f aca="false">E153/$E$266</f>
        <v>0.379188108030422</v>
      </c>
      <c r="H153" s="31" t="n">
        <f aca="false">(F153-F152)*(G153+G152)</f>
        <v>0.0032343003288618</v>
      </c>
      <c r="I153" s="32" t="n">
        <f aca="false">MIN(10,ROUNDUP(F153*10,0))</f>
        <v>7</v>
      </c>
    </row>
    <row r="154" customFormat="false" ht="15.75" hidden="false" customHeight="true" outlineLevel="0" collapsed="false">
      <c r="A154" s="29" t="n">
        <v>336329.75</v>
      </c>
      <c r="B154" s="29" t="n">
        <v>2436</v>
      </c>
      <c r="C154" s="29" t="n">
        <f aca="false">A154*B154</f>
        <v>819299271</v>
      </c>
      <c r="D154" s="29" t="n">
        <f aca="false">SUM($B$3:B154)</f>
        <v>243676</v>
      </c>
      <c r="E154" s="29" t="n">
        <f aca="false">SUM($C$3:C154)</f>
        <v>50982153225.22</v>
      </c>
      <c r="F154" s="30" t="n">
        <f aca="false">D154/$D$266</f>
        <v>0.620607628851801</v>
      </c>
      <c r="G154" s="30" t="n">
        <f aca="false">E154/$E$266</f>
        <v>0.385381307100888</v>
      </c>
      <c r="H154" s="31" t="n">
        <f aca="false">(F154-F153)*(G154+G153)</f>
        <v>0.00474349620966701</v>
      </c>
      <c r="I154" s="32" t="n">
        <f aca="false">MIN(10,ROUNDUP(F154*10,0))</f>
        <v>7</v>
      </c>
    </row>
    <row r="155" customFormat="false" ht="15.75" hidden="false" customHeight="true" outlineLevel="0" collapsed="false">
      <c r="A155" s="29" t="n">
        <v>339200</v>
      </c>
      <c r="B155" s="29" t="n">
        <v>1690</v>
      </c>
      <c r="C155" s="29" t="n">
        <f aca="false">A155*B155</f>
        <v>573248000</v>
      </c>
      <c r="D155" s="29" t="n">
        <f aca="false">SUM($B$3:B155)</f>
        <v>245366</v>
      </c>
      <c r="E155" s="29" t="n">
        <f aca="false">SUM($C$3:C155)</f>
        <v>51555401225.22</v>
      </c>
      <c r="F155" s="30" t="n">
        <f aca="false">D155/$D$266</f>
        <v>0.624911815118645</v>
      </c>
      <c r="G155" s="30" t="n">
        <f aca="false">E155/$E$266</f>
        <v>0.389714569812587</v>
      </c>
      <c r="H155" s="31" t="n">
        <f aca="false">(F155-F154)*(G155+G154)</f>
        <v>0.00333615702889859</v>
      </c>
      <c r="I155" s="32" t="n">
        <f aca="false">MIN(10,ROUNDUP(F155*10,0))</f>
        <v>7</v>
      </c>
    </row>
    <row r="156" customFormat="false" ht="15.75" hidden="false" customHeight="true" outlineLevel="0" collapsed="false">
      <c r="A156" s="29" t="n">
        <v>339500</v>
      </c>
      <c r="B156" s="29" t="n">
        <v>558</v>
      </c>
      <c r="C156" s="29" t="n">
        <f aca="false">A156*B156</f>
        <v>189441000</v>
      </c>
      <c r="D156" s="29" t="n">
        <f aca="false">SUM($B$3:B156)</f>
        <v>245924</v>
      </c>
      <c r="E156" s="29" t="n">
        <f aca="false">SUM($C$3:C156)</f>
        <v>51744842225.22</v>
      </c>
      <c r="F156" s="30" t="n">
        <f aca="false">D156/$D$266</f>
        <v>0.626332960643438</v>
      </c>
      <c r="G156" s="30" t="n">
        <f aca="false">E156/$E$266</f>
        <v>0.391146581125957</v>
      </c>
      <c r="H156" s="31" t="n">
        <f aca="false">(F156-F155)*(G156+G155)</f>
        <v>0.00110971733014059</v>
      </c>
      <c r="I156" s="32" t="n">
        <f aca="false">MIN(10,ROUNDUP(F156*10,0))</f>
        <v>7</v>
      </c>
    </row>
    <row r="157" customFormat="false" ht="15.75" hidden="false" customHeight="true" outlineLevel="0" collapsed="false">
      <c r="A157" s="29" t="n">
        <v>341000</v>
      </c>
      <c r="B157" s="29" t="n">
        <v>3480</v>
      </c>
      <c r="C157" s="29" t="n">
        <f aca="false">A157*B157</f>
        <v>1186680000</v>
      </c>
      <c r="D157" s="29" t="n">
        <f aca="false">SUM($B$3:B157)</f>
        <v>249404</v>
      </c>
      <c r="E157" s="29" t="n">
        <f aca="false">SUM($C$3:C157)</f>
        <v>52931522225.22</v>
      </c>
      <c r="F157" s="30" t="n">
        <f aca="false">D157/$D$266</f>
        <v>0.635196018755046</v>
      </c>
      <c r="G157" s="30" t="n">
        <f aca="false">E157/$E$266</f>
        <v>0.400116863088945</v>
      </c>
      <c r="H157" s="31" t="n">
        <f aca="false">(F157-F156)*(G157+G156)</f>
        <v>0.00701301388766798</v>
      </c>
      <c r="I157" s="32" t="n">
        <f aca="false">MIN(10,ROUNDUP(F157*10,0))</f>
        <v>7</v>
      </c>
    </row>
    <row r="158" customFormat="false" ht="15.75" hidden="false" customHeight="true" outlineLevel="0" collapsed="false">
      <c r="A158" s="29" t="n">
        <v>342500</v>
      </c>
      <c r="B158" s="29" t="n">
        <v>1180</v>
      </c>
      <c r="C158" s="29" t="n">
        <f aca="false">A158*B158</f>
        <v>404150000</v>
      </c>
      <c r="D158" s="29" t="n">
        <f aca="false">SUM($B$3:B158)</f>
        <v>250584</v>
      </c>
      <c r="E158" s="29" t="n">
        <f aca="false">SUM($C$3:C158)</f>
        <v>53335672225.22</v>
      </c>
      <c r="F158" s="30" t="n">
        <f aca="false">D158/$D$266</f>
        <v>0.638201308574499</v>
      </c>
      <c r="G158" s="30" t="n">
        <f aca="false">E158/$E$266</f>
        <v>0.40317189010157</v>
      </c>
      <c r="H158" s="31" t="n">
        <f aca="false">(F158-F157)*(G158+G157)</f>
        <v>0.00241411551204484</v>
      </c>
      <c r="I158" s="32" t="n">
        <f aca="false">MIN(10,ROUNDUP(F158*10,0))</f>
        <v>7</v>
      </c>
    </row>
    <row r="159" customFormat="false" ht="15.75" hidden="false" customHeight="true" outlineLevel="0" collapsed="false">
      <c r="A159" s="29" t="n">
        <v>342880</v>
      </c>
      <c r="B159" s="29" t="n">
        <v>2105</v>
      </c>
      <c r="C159" s="29" t="n">
        <f aca="false">A159*B159</f>
        <v>721762400</v>
      </c>
      <c r="D159" s="29" t="n">
        <f aca="false">SUM($B$3:B159)</f>
        <v>252689</v>
      </c>
      <c r="E159" s="29" t="n">
        <f aca="false">SUM($C$3:C159)</f>
        <v>54057434625.22</v>
      </c>
      <c r="F159" s="30" t="n">
        <f aca="false">D159/$D$266</f>
        <v>0.643562439989711</v>
      </c>
      <c r="G159" s="30" t="n">
        <f aca="false">E159/$E$266</f>
        <v>0.408627794168617</v>
      </c>
      <c r="H159" s="31" t="n">
        <f aca="false">(F159-F158)*(G159+G158)</f>
        <v>0.00435216479019963</v>
      </c>
      <c r="I159" s="32" t="n">
        <f aca="false">MIN(10,ROUNDUP(F159*10,0))</f>
        <v>7</v>
      </c>
    </row>
    <row r="160" customFormat="false" ht="15.75" hidden="false" customHeight="true" outlineLevel="0" collapsed="false">
      <c r="A160" s="29" t="n">
        <v>345000</v>
      </c>
      <c r="B160" s="29" t="n">
        <v>1428</v>
      </c>
      <c r="C160" s="29" t="n">
        <f aca="false">A160*B160</f>
        <v>492660000</v>
      </c>
      <c r="D160" s="29" t="n">
        <f aca="false">SUM($B$3:B160)</f>
        <v>254117</v>
      </c>
      <c r="E160" s="29" t="n">
        <f aca="false">SUM($C$3:C160)</f>
        <v>54550094625.22</v>
      </c>
      <c r="F160" s="30" t="n">
        <f aca="false">D160/$D$266</f>
        <v>0.647199350042405</v>
      </c>
      <c r="G160" s="30" t="n">
        <f aca="false">E160/$E$266</f>
        <v>0.412351880790019</v>
      </c>
      <c r="H160" s="31" t="n">
        <f aca="false">(F160-F159)*(G160+G159)</f>
        <v>0.00298582923291484</v>
      </c>
      <c r="I160" s="32" t="n">
        <f aca="false">MIN(10,ROUNDUP(F160*10,0))</f>
        <v>7</v>
      </c>
    </row>
    <row r="161" customFormat="false" ht="15.75" hidden="false" customHeight="true" outlineLevel="0" collapsed="false">
      <c r="A161" s="29" t="n">
        <v>346000</v>
      </c>
      <c r="B161" s="29" t="n">
        <v>1869</v>
      </c>
      <c r="C161" s="29" t="n">
        <f aca="false">A161*B161</f>
        <v>646674000</v>
      </c>
      <c r="D161" s="29" t="n">
        <f aca="false">SUM($B$3:B161)</f>
        <v>255986</v>
      </c>
      <c r="E161" s="29" t="n">
        <f aca="false">SUM($C$3:C161)</f>
        <v>55196768625.22</v>
      </c>
      <c r="F161" s="30" t="n">
        <f aca="false">D161/$D$266</f>
        <v>0.651959423493726</v>
      </c>
      <c r="G161" s="30" t="n">
        <f aca="false">E161/$E$266</f>
        <v>0.417240181021028</v>
      </c>
      <c r="H161" s="31" t="n">
        <f aca="false">(F161-F160)*(G161+G160)</f>
        <v>0.00394891914885315</v>
      </c>
      <c r="I161" s="32" t="n">
        <f aca="false">MIN(10,ROUNDUP(F161*10,0))</f>
        <v>7</v>
      </c>
    </row>
    <row r="162" customFormat="false" ht="15.75" hidden="false" customHeight="true" outlineLevel="0" collapsed="false">
      <c r="A162" s="29" t="n">
        <v>346500</v>
      </c>
      <c r="B162" s="29" t="n">
        <v>1016</v>
      </c>
      <c r="C162" s="29" t="n">
        <f aca="false">A162*B162</f>
        <v>352044000</v>
      </c>
      <c r="D162" s="29" t="n">
        <f aca="false">SUM($B$3:B162)</f>
        <v>257002</v>
      </c>
      <c r="E162" s="29" t="n">
        <f aca="false">SUM($C$3:C162)</f>
        <v>55548812625.22</v>
      </c>
      <c r="F162" s="30" t="n">
        <f aca="false">D162/$D$266</f>
        <v>0.654547028965391</v>
      </c>
      <c r="G162" s="30" t="n">
        <f aca="false">E162/$E$266</f>
        <v>0.419901331409825</v>
      </c>
      <c r="H162" s="31" t="n">
        <f aca="false">(F162-F161)*(G162+G161)</f>
        <v>0.00216619195812392</v>
      </c>
      <c r="I162" s="32" t="n">
        <f aca="false">MIN(10,ROUNDUP(F162*10,0))</f>
        <v>7</v>
      </c>
    </row>
    <row r="163" customFormat="false" ht="15.75" hidden="false" customHeight="true" outlineLevel="0" collapsed="false">
      <c r="A163" s="29" t="n">
        <v>350000</v>
      </c>
      <c r="B163" s="29" t="n">
        <v>3963</v>
      </c>
      <c r="C163" s="29" t="n">
        <f aca="false">A163*B163</f>
        <v>1387050000</v>
      </c>
      <c r="D163" s="29" t="n">
        <f aca="false">SUM($B$3:B163)</f>
        <v>260965</v>
      </c>
      <c r="E163" s="29" t="n">
        <f aca="false">SUM($C$3:C163)</f>
        <v>56935862625.22</v>
      </c>
      <c r="F163" s="30" t="n">
        <f aca="false">D163/$D$266</f>
        <v>0.664640218418352</v>
      </c>
      <c r="G163" s="30" t="n">
        <f aca="false">E163/$E$266</f>
        <v>0.430386238542972</v>
      </c>
      <c r="H163" s="31" t="n">
        <f aca="false">(F163-F162)*(G163+G162)</f>
        <v>0.00858211353303132</v>
      </c>
      <c r="I163" s="32" t="n">
        <f aca="false">MIN(10,ROUNDUP(F163*10,0))</f>
        <v>7</v>
      </c>
    </row>
    <row r="164" customFormat="false" ht="15.75" hidden="false" customHeight="true" outlineLevel="0" collapsed="false">
      <c r="A164" s="29" t="n">
        <v>356750</v>
      </c>
      <c r="B164" s="29" t="n">
        <v>1024</v>
      </c>
      <c r="C164" s="29" t="n">
        <f aca="false">A164*B164</f>
        <v>365312000</v>
      </c>
      <c r="D164" s="29" t="n">
        <f aca="false">SUM($B$3:B164)</f>
        <v>261989</v>
      </c>
      <c r="E164" s="29" t="n">
        <f aca="false">SUM($C$3:C164)</f>
        <v>57301174625.22</v>
      </c>
      <c r="F164" s="30" t="n">
        <f aca="false">D164/$D$266</f>
        <v>0.66724819873625</v>
      </c>
      <c r="G164" s="30" t="n">
        <f aca="false">E164/$E$266</f>
        <v>0.433147683620384</v>
      </c>
      <c r="H164" s="31" t="n">
        <f aca="false">(F164-F163)*(G164+G163)</f>
        <v>0.00225207947283977</v>
      </c>
      <c r="I164" s="32" t="n">
        <f aca="false">MIN(10,ROUNDUP(F164*10,0))</f>
        <v>7</v>
      </c>
    </row>
    <row r="165" customFormat="false" ht="15.75" hidden="false" customHeight="true" outlineLevel="0" collapsed="false">
      <c r="A165" s="29" t="n">
        <v>362500</v>
      </c>
      <c r="B165" s="29" t="n">
        <v>4556</v>
      </c>
      <c r="C165" s="29" t="n">
        <f aca="false">A165*B165</f>
        <v>1651550000</v>
      </c>
      <c r="D165" s="29" t="n">
        <f aca="false">SUM($B$3:B165)</f>
        <v>266545</v>
      </c>
      <c r="E165" s="29" t="n">
        <f aca="false">SUM($C$3:C165)</f>
        <v>58952724625.22</v>
      </c>
      <c r="F165" s="30" t="n">
        <f aca="false">D165/$D$266</f>
        <v>0.678851673666275</v>
      </c>
      <c r="G165" s="30" t="n">
        <f aca="false">E165/$E$266</f>
        <v>0.445631983664181</v>
      </c>
      <c r="H165" s="31" t="n">
        <f aca="false">(F165-F164)*(G165+G164)</f>
        <v>0.0101968978383523</v>
      </c>
      <c r="I165" s="32" t="n">
        <f aca="false">MIN(10,ROUNDUP(F165*10,0))</f>
        <v>7</v>
      </c>
    </row>
    <row r="166" customFormat="false" ht="15.75" hidden="false" customHeight="true" outlineLevel="0" collapsed="false">
      <c r="A166" s="29" t="n">
        <v>362727</v>
      </c>
      <c r="B166" s="29" t="n">
        <v>792</v>
      </c>
      <c r="C166" s="29" t="n">
        <f aca="false">A166*B166</f>
        <v>287279784</v>
      </c>
      <c r="D166" s="29" t="n">
        <f aca="false">SUM($B$3:B166)</f>
        <v>267337</v>
      </c>
      <c r="E166" s="29" t="n">
        <f aca="false">SUM($C$3:C166)</f>
        <v>59240004409.22</v>
      </c>
      <c r="F166" s="30" t="n">
        <f aca="false">D166/$D$266</f>
        <v>0.6808687834434</v>
      </c>
      <c r="G166" s="30" t="n">
        <f aca="false">E166/$E$266</f>
        <v>0.44780357218404</v>
      </c>
      <c r="H166" s="31" t="n">
        <f aca="false">(F166-F165)*(G166+G165)</f>
        <v>0.00180215759493225</v>
      </c>
      <c r="I166" s="32" t="n">
        <f aca="false">MIN(10,ROUNDUP(F166*10,0))</f>
        <v>7</v>
      </c>
    </row>
    <row r="167" customFormat="false" ht="15.75" hidden="false" customHeight="true" outlineLevel="0" collapsed="false">
      <c r="A167" s="29" t="n">
        <v>364512</v>
      </c>
      <c r="B167" s="29" t="n">
        <v>788</v>
      </c>
      <c r="C167" s="29" t="n">
        <f aca="false">A167*B167</f>
        <v>287235456</v>
      </c>
      <c r="D167" s="29" t="n">
        <f aca="false">SUM($B$3:B167)</f>
        <v>268125</v>
      </c>
      <c r="E167" s="29" t="n">
        <f aca="false">SUM($C$3:C167)</f>
        <v>59527239865.22</v>
      </c>
      <c r="F167" s="30" t="n">
        <f aca="false">D167/$D$266</f>
        <v>0.682875705797408</v>
      </c>
      <c r="G167" s="30" t="n">
        <f aca="false">E167/$E$266</f>
        <v>0.449974825622277</v>
      </c>
      <c r="H167" s="31" t="n">
        <f aca="false">(F167-F166)*(G167+G166)</f>
        <v>0.00180177153550289</v>
      </c>
      <c r="I167" s="32" t="n">
        <f aca="false">MIN(10,ROUNDUP(F167*10,0))</f>
        <v>7</v>
      </c>
    </row>
    <row r="168" customFormat="false" ht="15.75" hidden="false" customHeight="true" outlineLevel="0" collapsed="false">
      <c r="A168" s="29" t="n">
        <v>368400</v>
      </c>
      <c r="B168" s="29" t="n">
        <v>1310</v>
      </c>
      <c r="C168" s="29" t="n">
        <f aca="false">A168*B168</f>
        <v>482604000</v>
      </c>
      <c r="D168" s="29" t="n">
        <f aca="false">SUM($B$3:B168)</f>
        <v>269435</v>
      </c>
      <c r="E168" s="29" t="n">
        <f aca="false">SUM($C$3:C168)</f>
        <v>60009843865.22</v>
      </c>
      <c r="F168" s="30" t="n">
        <f aca="false">D168/$D$266</f>
        <v>0.686212086868157</v>
      </c>
      <c r="G168" s="30" t="n">
        <f aca="false">E168/$E$266</f>
        <v>0.453622897517367</v>
      </c>
      <c r="H168" s="31" t="n">
        <f aca="false">(F168-F167)*(G168+G167)</f>
        <v>0.00301474633905507</v>
      </c>
      <c r="I168" s="32" t="n">
        <f aca="false">MIN(10,ROUNDUP(F168*10,0))</f>
        <v>7</v>
      </c>
    </row>
    <row r="169" customFormat="false" ht="15.75" hidden="false" customHeight="true" outlineLevel="0" collapsed="false">
      <c r="A169" s="29" t="n">
        <v>370000</v>
      </c>
      <c r="B169" s="29" t="n">
        <v>2586</v>
      </c>
      <c r="C169" s="29" t="n">
        <f aca="false">A169*B169</f>
        <v>956820000</v>
      </c>
      <c r="D169" s="29" t="n">
        <f aca="false">SUM($B$3:B169)</f>
        <v>272021</v>
      </c>
      <c r="E169" s="29" t="n">
        <f aca="false">SUM($C$3:C169)</f>
        <v>60966663865.22</v>
      </c>
      <c r="F169" s="30" t="n">
        <f aca="false">D169/$D$266</f>
        <v>0.692798255913162</v>
      </c>
      <c r="G169" s="30" t="n">
        <f aca="false">E169/$E$266</f>
        <v>0.460855635229157</v>
      </c>
      <c r="H169" s="31" t="n">
        <f aca="false">(F169-F168)*(G169+G168)</f>
        <v>0.00602291020469713</v>
      </c>
      <c r="I169" s="32" t="n">
        <f aca="false">MIN(10,ROUNDUP(F169*10,0))</f>
        <v>7</v>
      </c>
    </row>
    <row r="170" customFormat="false" ht="15.75" hidden="false" customHeight="true" outlineLevel="0" collapsed="false">
      <c r="A170" s="29" t="n">
        <v>371333.33</v>
      </c>
      <c r="B170" s="29" t="n">
        <v>1221</v>
      </c>
      <c r="C170" s="29" t="n">
        <f aca="false">A170*B170</f>
        <v>453397995.93</v>
      </c>
      <c r="D170" s="29" t="n">
        <f aca="false">SUM($B$3:B170)</f>
        <v>273242</v>
      </c>
      <c r="E170" s="29" t="n">
        <f aca="false">SUM($C$3:C170)</f>
        <v>61420061861.15</v>
      </c>
      <c r="F170" s="30" t="n">
        <f aca="false">D170/$D$266</f>
        <v>0.695907966819563</v>
      </c>
      <c r="G170" s="30" t="n">
        <f aca="false">E170/$E$266</f>
        <v>0.46428293480861</v>
      </c>
      <c r="H170" s="31" t="n">
        <f aca="false">(F170-F169)*(G170+G169)</f>
        <v>0.00287691350117826</v>
      </c>
      <c r="I170" s="32" t="n">
        <f aca="false">MIN(10,ROUNDUP(F170*10,0))</f>
        <v>7</v>
      </c>
    </row>
    <row r="171" customFormat="false" ht="15.75" hidden="false" customHeight="true" outlineLevel="0" collapsed="false">
      <c r="A171" s="29" t="n">
        <v>372000</v>
      </c>
      <c r="B171" s="29" t="n">
        <v>1628</v>
      </c>
      <c r="C171" s="29" t="n">
        <f aca="false">A171*B171</f>
        <v>605616000</v>
      </c>
      <c r="D171" s="29" t="n">
        <f aca="false">SUM($B$3:B171)</f>
        <v>274870</v>
      </c>
      <c r="E171" s="29" t="n">
        <f aca="false">SUM($C$3:C171)</f>
        <v>62025677861.15</v>
      </c>
      <c r="F171" s="30" t="n">
        <f aca="false">D171/$D$266</f>
        <v>0.700054248028097</v>
      </c>
      <c r="G171" s="30" t="n">
        <f aca="false">E171/$E$266</f>
        <v>0.468860871810411</v>
      </c>
      <c r="H171" s="31" t="n">
        <f aca="false">(F171-F170)*(G171+G170)</f>
        <v>0.00386907663024433</v>
      </c>
      <c r="I171" s="32" t="n">
        <f aca="false">MIN(10,ROUNDUP(F171*10,0))</f>
        <v>8</v>
      </c>
    </row>
    <row r="172" customFormat="false" ht="15.75" hidden="false" customHeight="true" outlineLevel="0" collapsed="false">
      <c r="A172" s="29" t="n">
        <v>373333.33</v>
      </c>
      <c r="B172" s="29" t="n">
        <v>1614</v>
      </c>
      <c r="C172" s="29" t="n">
        <f aca="false">A172*B172</f>
        <v>602559994.62</v>
      </c>
      <c r="D172" s="29" t="n">
        <f aca="false">SUM($B$3:B172)</f>
        <v>276484</v>
      </c>
      <c r="E172" s="29" t="n">
        <f aca="false">SUM($C$3:C172)</f>
        <v>62628237855.77</v>
      </c>
      <c r="F172" s="30" t="n">
        <f aca="false">D172/$D$266</f>
        <v>0.704164873255722</v>
      </c>
      <c r="G172" s="30" t="n">
        <f aca="false">E172/$E$266</f>
        <v>0.473415708035305</v>
      </c>
      <c r="H172" s="31" t="n">
        <f aca="false">(F172-F171)*(G172+G171)</f>
        <v>0.00387334588051427</v>
      </c>
      <c r="I172" s="32" t="n">
        <f aca="false">MIN(10,ROUNDUP(F172*10,0))</f>
        <v>8</v>
      </c>
    </row>
    <row r="173" customFormat="false" ht="15.75" hidden="false" customHeight="true" outlineLevel="0" collapsed="false">
      <c r="A173" s="29" t="n">
        <v>375000</v>
      </c>
      <c r="B173" s="29" t="n">
        <v>890</v>
      </c>
      <c r="C173" s="29" t="n">
        <f aca="false">A173*B173</f>
        <v>333750000</v>
      </c>
      <c r="D173" s="29" t="n">
        <f aca="false">SUM($B$3:B173)</f>
        <v>277374</v>
      </c>
      <c r="E173" s="29" t="n">
        <f aca="false">SUM($C$3:C173)</f>
        <v>62961987855.77</v>
      </c>
      <c r="F173" s="30" t="n">
        <f aca="false">D173/$D$266</f>
        <v>0.706431574899208</v>
      </c>
      <c r="G173" s="30" t="n">
        <f aca="false">E173/$E$266</f>
        <v>0.475938571490615</v>
      </c>
      <c r="H173" s="31" t="n">
        <f aca="false">(F173-F172)*(G173+G172)</f>
        <v>0.00215190290565184</v>
      </c>
      <c r="I173" s="32" t="n">
        <f aca="false">MIN(10,ROUNDUP(F173*10,0))</f>
        <v>8</v>
      </c>
    </row>
    <row r="174" customFormat="false" ht="15.75" hidden="false" customHeight="true" outlineLevel="0" collapsed="false">
      <c r="A174" s="29" t="n">
        <v>376666.67</v>
      </c>
      <c r="B174" s="29" t="n">
        <v>978</v>
      </c>
      <c r="C174" s="29" t="n">
        <f aca="false">A174*B174</f>
        <v>368380003.26</v>
      </c>
      <c r="D174" s="29" t="n">
        <f aca="false">SUM($B$3:B174)</f>
        <v>278352</v>
      </c>
      <c r="E174" s="29" t="n">
        <f aca="false">SUM($C$3:C174)</f>
        <v>63330367859.03</v>
      </c>
      <c r="F174" s="30" t="n">
        <f aca="false">D174/$D$266</f>
        <v>0.708922399851264</v>
      </c>
      <c r="G174" s="30" t="n">
        <f aca="false">E174/$E$266</f>
        <v>0.478723208038605</v>
      </c>
      <c r="H174" s="31" t="n">
        <f aca="false">(F174-F173)*(G174+G173)</f>
        <v>0.00237789538122503</v>
      </c>
      <c r="I174" s="32" t="n">
        <f aca="false">MIN(10,ROUNDUP(F174*10,0))</f>
        <v>8</v>
      </c>
    </row>
    <row r="175" customFormat="false" ht="15.75" hidden="false" customHeight="true" outlineLevel="0" collapsed="false">
      <c r="A175" s="29" t="n">
        <v>380000</v>
      </c>
      <c r="B175" s="29" t="n">
        <v>1258</v>
      </c>
      <c r="C175" s="29" t="n">
        <f aca="false">A175*B175</f>
        <v>478040000</v>
      </c>
      <c r="D175" s="29" t="n">
        <f aca="false">SUM($B$3:B175)</f>
        <v>279610</v>
      </c>
      <c r="E175" s="29" t="n">
        <f aca="false">SUM($C$3:C175)</f>
        <v>63808407859.03</v>
      </c>
      <c r="F175" s="30" t="n">
        <f aca="false">D175/$D$266</f>
        <v>0.712126344421495</v>
      </c>
      <c r="G175" s="30" t="n">
        <f aca="false">E175/$E$266</f>
        <v>0.482336780012167</v>
      </c>
      <c r="H175" s="31" t="n">
        <f aca="false">(F175-F174)*(G175+G174)</f>
        <v>0.00307918293038142</v>
      </c>
      <c r="I175" s="32" t="n">
        <f aca="false">MIN(10,ROUNDUP(F175*10,0))</f>
        <v>8</v>
      </c>
    </row>
    <row r="176" customFormat="false" ht="15.75" hidden="false" customHeight="true" outlineLevel="0" collapsed="false">
      <c r="A176" s="29" t="n">
        <v>382000</v>
      </c>
      <c r="B176" s="29" t="n">
        <v>1306</v>
      </c>
      <c r="C176" s="29" t="n">
        <f aca="false">A176*B176</f>
        <v>498892000</v>
      </c>
      <c r="D176" s="29" t="n">
        <f aca="false">SUM($B$3:B176)</f>
        <v>280916</v>
      </c>
      <c r="E176" s="29" t="n">
        <f aca="false">SUM($C$3:C176)</f>
        <v>64307299859.03</v>
      </c>
      <c r="F176" s="30" t="n">
        <f aca="false">D176/$D$266</f>
        <v>0.715452538069127</v>
      </c>
      <c r="G176" s="30" t="n">
        <f aca="false">E176/$E$266</f>
        <v>0.486107975203018</v>
      </c>
      <c r="H176" s="31" t="n">
        <f aca="false">(F176-F175)*(G176+G175)</f>
        <v>0.00322123479287958</v>
      </c>
      <c r="I176" s="32" t="n">
        <f aca="false">MIN(10,ROUNDUP(F176*10,0))</f>
        <v>8</v>
      </c>
    </row>
    <row r="177" customFormat="false" ht="15.75" hidden="false" customHeight="true" outlineLevel="0" collapsed="false">
      <c r="A177" s="29" t="n">
        <v>382312.5</v>
      </c>
      <c r="B177" s="29" t="n">
        <v>1428</v>
      </c>
      <c r="C177" s="29" t="n">
        <f aca="false">A177*B177</f>
        <v>545942250</v>
      </c>
      <c r="D177" s="29" t="n">
        <f aca="false">SUM($B$3:B177)</f>
        <v>282344</v>
      </c>
      <c r="E177" s="29" t="n">
        <f aca="false">SUM($C$3:C177)</f>
        <v>64853242109.03</v>
      </c>
      <c r="F177" s="30" t="n">
        <f aca="false">D177/$D$266</f>
        <v>0.719089448121821</v>
      </c>
      <c r="G177" s="30" t="n">
        <f aca="false">E177/$E$266</f>
        <v>0.490234829888366</v>
      </c>
      <c r="H177" s="31" t="n">
        <f aca="false">(F177-F176)*(G177+G176)</f>
        <v>0.0035508709627127</v>
      </c>
      <c r="I177" s="32" t="n">
        <f aca="false">MIN(10,ROUNDUP(F177*10,0))</f>
        <v>8</v>
      </c>
    </row>
    <row r="178" customFormat="false" ht="15.75" hidden="false" customHeight="true" outlineLevel="0" collapsed="false">
      <c r="A178" s="29" t="n">
        <v>383817</v>
      </c>
      <c r="B178" s="29" t="n">
        <v>942</v>
      </c>
      <c r="C178" s="29" t="n">
        <f aca="false">A178*B178</f>
        <v>361555614</v>
      </c>
      <c r="D178" s="29" t="n">
        <f aca="false">SUM($B$3:B178)</f>
        <v>283286</v>
      </c>
      <c r="E178" s="29" t="n">
        <f aca="false">SUM($C$3:C178)</f>
        <v>65214797723.03</v>
      </c>
      <c r="F178" s="30" t="n">
        <f aca="false">D178/$D$266</f>
        <v>0.721488586265826</v>
      </c>
      <c r="G178" s="30" t="n">
        <f aca="false">E178/$E$266</f>
        <v>0.492967879912704</v>
      </c>
      <c r="H178" s="31" t="n">
        <f aca="false">(F178-F177)*(G178+G177)</f>
        <v>0.00235883912437222</v>
      </c>
      <c r="I178" s="32" t="n">
        <f aca="false">MIN(10,ROUNDUP(F178*10,0))</f>
        <v>8</v>
      </c>
    </row>
    <row r="179" customFormat="false" ht="15.75" hidden="false" customHeight="true" outlineLevel="0" collapsed="false">
      <c r="A179" s="29" t="n">
        <v>385000</v>
      </c>
      <c r="B179" s="29" t="n">
        <v>1066</v>
      </c>
      <c r="C179" s="29" t="n">
        <f aca="false">A179*B179</f>
        <v>410410000</v>
      </c>
      <c r="D179" s="29" t="n">
        <f aca="false">SUM($B$3:B179)</f>
        <v>284352</v>
      </c>
      <c r="E179" s="29" t="n">
        <f aca="false">SUM($C$3:C179)</f>
        <v>65625207723.03</v>
      </c>
      <c r="F179" s="30" t="n">
        <f aca="false">D179/$D$266</f>
        <v>0.72420353452645</v>
      </c>
      <c r="G179" s="30" t="n">
        <f aca="false">E179/$E$266</f>
        <v>0.496070227150738</v>
      </c>
      <c r="H179" s="31" t="n">
        <f aca="false">(F179-F178)*(G179+G178)</f>
        <v>0.00268518728846353</v>
      </c>
      <c r="I179" s="32" t="n">
        <f aca="false">MIN(10,ROUNDUP(F179*10,0))</f>
        <v>8</v>
      </c>
    </row>
    <row r="180" customFormat="false" ht="15.75" hidden="false" customHeight="true" outlineLevel="0" collapsed="false">
      <c r="A180" s="29" t="n">
        <v>386000</v>
      </c>
      <c r="B180" s="29" t="n">
        <v>670</v>
      </c>
      <c r="C180" s="29" t="n">
        <f aca="false">A180*B180</f>
        <v>258620000</v>
      </c>
      <c r="D180" s="29" t="n">
        <f aca="false">SUM($B$3:B180)</f>
        <v>285022</v>
      </c>
      <c r="E180" s="29" t="n">
        <f aca="false">SUM($C$3:C180)</f>
        <v>65883827723.03</v>
      </c>
      <c r="F180" s="30" t="n">
        <f aca="false">D180/$D$266</f>
        <v>0.725909927898513</v>
      </c>
      <c r="G180" s="30" t="n">
        <f aca="false">E180/$E$266</f>
        <v>0.498025172309726</v>
      </c>
      <c r="H180" s="31" t="n">
        <f aca="false">(F180-F179)*(G180+G179)</f>
        <v>0.00169631780083723</v>
      </c>
      <c r="I180" s="32" t="n">
        <f aca="false">MIN(10,ROUNDUP(F180*10,0))</f>
        <v>8</v>
      </c>
    </row>
    <row r="181" customFormat="false" ht="15.75" hidden="false" customHeight="true" outlineLevel="0" collapsed="false">
      <c r="A181" s="29" t="n">
        <v>387500</v>
      </c>
      <c r="B181" s="29" t="n">
        <v>2732</v>
      </c>
      <c r="C181" s="29" t="n">
        <f aca="false">A181*B181</f>
        <v>1058650000</v>
      </c>
      <c r="D181" s="29" t="n">
        <f aca="false">SUM($B$3:B181)</f>
        <v>287754</v>
      </c>
      <c r="E181" s="29" t="n">
        <f aca="false">SUM($C$3:C181)</f>
        <v>66942477723.03</v>
      </c>
      <c r="F181" s="30" t="n">
        <f aca="false">D181/$D$266</f>
        <v>0.732867937887281</v>
      </c>
      <c r="G181" s="30" t="n">
        <f aca="false">E181/$E$266</f>
        <v>0.506027657394262</v>
      </c>
      <c r="H181" s="31" t="n">
        <f aca="false">(F181-F180)*(G181+G180)</f>
        <v>0.0069862096183314</v>
      </c>
      <c r="I181" s="32" t="n">
        <f aca="false">MIN(10,ROUNDUP(F181*10,0))</f>
        <v>8</v>
      </c>
    </row>
    <row r="182" customFormat="false" ht="15.75" hidden="false" customHeight="true" outlineLevel="0" collapsed="false">
      <c r="A182" s="29" t="n">
        <v>388180</v>
      </c>
      <c r="B182" s="29" t="n">
        <v>843</v>
      </c>
      <c r="C182" s="29" t="n">
        <f aca="false">A182*B182</f>
        <v>327235740</v>
      </c>
      <c r="D182" s="29" t="n">
        <f aca="false">SUM($B$3:B182)</f>
        <v>288597</v>
      </c>
      <c r="E182" s="29" t="n">
        <f aca="false">SUM($C$3:C182)</f>
        <v>67269713463.03</v>
      </c>
      <c r="F182" s="30" t="n">
        <f aca="false">D182/$D$266</f>
        <v>0.735014937309145</v>
      </c>
      <c r="G182" s="30" t="n">
        <f aca="false">E182/$E$266</f>
        <v>0.50850127863686</v>
      </c>
      <c r="H182" s="31" t="n">
        <f aca="false">(F182-F181)*(G182+G181)</f>
        <v>0.00217819303912292</v>
      </c>
      <c r="I182" s="32" t="n">
        <f aca="false">MIN(10,ROUNDUP(F182*10,0))</f>
        <v>8</v>
      </c>
    </row>
    <row r="183" customFormat="false" ht="15.75" hidden="false" customHeight="true" outlineLevel="0" collapsed="false">
      <c r="A183" s="29" t="n">
        <v>393333.33</v>
      </c>
      <c r="B183" s="29" t="n">
        <v>807</v>
      </c>
      <c r="C183" s="29" t="n">
        <f aca="false">A183*B183</f>
        <v>317419997.31</v>
      </c>
      <c r="D183" s="29" t="n">
        <f aca="false">SUM($B$3:B183)</f>
        <v>289404</v>
      </c>
      <c r="E183" s="29" t="n">
        <f aca="false">SUM($C$3:C183)</f>
        <v>67587133460.34</v>
      </c>
      <c r="F183" s="30" t="n">
        <f aca="false">D183/$D$266</f>
        <v>0.737070249922958</v>
      </c>
      <c r="G183" s="30" t="n">
        <f aca="false">E183/$E$266</f>
        <v>0.510900701292135</v>
      </c>
      <c r="H183" s="31" t="n">
        <f aca="false">(F183-F182)*(G183+G182)</f>
        <v>0.00209518974789365</v>
      </c>
      <c r="I183" s="32" t="n">
        <f aca="false">MIN(10,ROUNDUP(F183*10,0))</f>
        <v>8</v>
      </c>
    </row>
    <row r="184" customFormat="false" ht="15.75" hidden="false" customHeight="true" outlineLevel="0" collapsed="false">
      <c r="A184" s="29" t="n">
        <v>394000</v>
      </c>
      <c r="B184" s="29" t="n">
        <v>1620</v>
      </c>
      <c r="C184" s="29" t="n">
        <f aca="false">A184*B184</f>
        <v>638280000</v>
      </c>
      <c r="D184" s="29" t="n">
        <f aca="false">SUM($B$3:B184)</f>
        <v>291024</v>
      </c>
      <c r="E184" s="29" t="n">
        <f aca="false">SUM($C$3:C184)</f>
        <v>68225413460.34</v>
      </c>
      <c r="F184" s="30" t="n">
        <f aca="false">D184/$D$266</f>
        <v>0.741196156285258</v>
      </c>
      <c r="G184" s="30" t="n">
        <f aca="false">E184/$E$266</f>
        <v>0.515725550089904</v>
      </c>
      <c r="H184" s="31" t="n">
        <f aca="false">(F184-F183)*(G184+G183)</f>
        <v>0.00423576378228173</v>
      </c>
      <c r="I184" s="32" t="n">
        <f aca="false">MIN(10,ROUNDUP(F184*10,0))</f>
        <v>8</v>
      </c>
    </row>
    <row r="185" customFormat="false" ht="15.75" hidden="false" customHeight="true" outlineLevel="0" collapsed="false">
      <c r="A185" s="29" t="n">
        <v>397756</v>
      </c>
      <c r="B185" s="29" t="n">
        <v>1024</v>
      </c>
      <c r="C185" s="29" t="n">
        <f aca="false">A185*B185</f>
        <v>407302144</v>
      </c>
      <c r="D185" s="29" t="n">
        <f aca="false">SUM($B$3:B185)</f>
        <v>292048</v>
      </c>
      <c r="E185" s="29" t="n">
        <f aca="false">SUM($C$3:C185)</f>
        <v>68632715604.34</v>
      </c>
      <c r="F185" s="30" t="n">
        <f aca="false">D185/$D$266</f>
        <v>0.743804136603157</v>
      </c>
      <c r="G185" s="30" t="n">
        <f aca="false">E185/$E$266</f>
        <v>0.518804404604861</v>
      </c>
      <c r="H185" s="31" t="n">
        <f aca="false">(F185-F184)*(G185+G184)</f>
        <v>0.00269803376012043</v>
      </c>
      <c r="I185" s="32" t="n">
        <f aca="false">MIN(10,ROUNDUP(F185*10,0))</f>
        <v>8</v>
      </c>
    </row>
    <row r="186" customFormat="false" ht="15.75" hidden="false" customHeight="true" outlineLevel="0" collapsed="false">
      <c r="A186" s="29" t="n">
        <v>400000</v>
      </c>
      <c r="B186" s="29" t="n">
        <v>6963</v>
      </c>
      <c r="C186" s="29" t="n">
        <f aca="false">A186*B186</f>
        <v>2785200000</v>
      </c>
      <c r="D186" s="29" t="n">
        <f aca="false">SUM($B$3:B186)</f>
        <v>299011</v>
      </c>
      <c r="E186" s="29" t="n">
        <f aca="false">SUM($C$3:C186)</f>
        <v>71417915604.34</v>
      </c>
      <c r="F186" s="30" t="n">
        <f aca="false">D186/$D$266</f>
        <v>0.761537893393711</v>
      </c>
      <c r="G186" s="30" t="n">
        <f aca="false">E186/$E$266</f>
        <v>0.539858125341129</v>
      </c>
      <c r="H186" s="31" t="n">
        <f aca="false">(F186-F185)*(G186+G185)</f>
        <v>0.018774063829335</v>
      </c>
      <c r="I186" s="32" t="n">
        <f aca="false">MIN(10,ROUNDUP(F186*10,0))</f>
        <v>8</v>
      </c>
    </row>
    <row r="187" customFormat="false" ht="15.75" hidden="false" customHeight="true" outlineLevel="0" collapsed="false">
      <c r="A187" s="29" t="n">
        <v>401000.5</v>
      </c>
      <c r="B187" s="29" t="n">
        <v>1592</v>
      </c>
      <c r="C187" s="29" t="n">
        <f aca="false">A187*B187</f>
        <v>638392796</v>
      </c>
      <c r="D187" s="29" t="n">
        <f aca="false">SUM($B$3:B187)</f>
        <v>300603</v>
      </c>
      <c r="E187" s="29" t="n">
        <f aca="false">SUM($C$3:C187)</f>
        <v>72056308400.34</v>
      </c>
      <c r="F187" s="30" t="n">
        <f aca="false">D187/$D$266</f>
        <v>0.765592487794194</v>
      </c>
      <c r="G187" s="30" t="n">
        <f aca="false">E187/$E$266</f>
        <v>0.544683826779815</v>
      </c>
      <c r="H187" s="31" t="n">
        <f aca="false">(F187-F186)*(G187+G186)</f>
        <v>0.0043973777261583</v>
      </c>
      <c r="I187" s="32" t="n">
        <f aca="false">MIN(10,ROUNDUP(F187*10,0))</f>
        <v>8</v>
      </c>
    </row>
    <row r="188" customFormat="false" ht="15.75" hidden="false" customHeight="true" outlineLevel="0" collapsed="false">
      <c r="A188" s="29" t="n">
        <v>402000</v>
      </c>
      <c r="B188" s="29" t="n">
        <v>1380</v>
      </c>
      <c r="C188" s="29" t="n">
        <f aca="false">A188*B188</f>
        <v>554760000</v>
      </c>
      <c r="D188" s="29" t="n">
        <f aca="false">SUM($B$3:B188)</f>
        <v>301983</v>
      </c>
      <c r="E188" s="29" t="n">
        <f aca="false">SUM($C$3:C188)</f>
        <v>72611068400.34</v>
      </c>
      <c r="F188" s="30" t="n">
        <f aca="false">D188/$D$266</f>
        <v>0.769107148769487</v>
      </c>
      <c r="G188" s="30" t="n">
        <f aca="false">E188/$E$266</f>
        <v>0.548877336084587</v>
      </c>
      <c r="H188" s="31" t="n">
        <f aca="false">(F188-F187)*(G188+G187)</f>
        <v>0.00384349674321551</v>
      </c>
      <c r="I188" s="32" t="n">
        <f aca="false">MIN(10,ROUNDUP(F188*10,0))</f>
        <v>8</v>
      </c>
    </row>
    <row r="189" customFormat="false" ht="15.75" hidden="false" customHeight="true" outlineLevel="0" collapsed="false">
      <c r="A189" s="29" t="n">
        <v>402666.67</v>
      </c>
      <c r="B189" s="29" t="n">
        <v>1230</v>
      </c>
      <c r="C189" s="29" t="n">
        <f aca="false">A189*B189</f>
        <v>495280004.1</v>
      </c>
      <c r="D189" s="29" t="n">
        <f aca="false">SUM($B$3:B189)</f>
        <v>303213</v>
      </c>
      <c r="E189" s="29" t="n">
        <f aca="false">SUM($C$3:C189)</f>
        <v>73106348404.44</v>
      </c>
      <c r="F189" s="30" t="n">
        <f aca="false">D189/$D$266</f>
        <v>0.7722397813779</v>
      </c>
      <c r="G189" s="30" t="n">
        <f aca="false">E189/$E$266</f>
        <v>0.552621227687553</v>
      </c>
      <c r="H189" s="31" t="n">
        <f aca="false">(F189-F188)*(G189+G188)</f>
        <v>0.00345059031899307</v>
      </c>
      <c r="I189" s="32" t="n">
        <f aca="false">MIN(10,ROUNDUP(F189*10,0))</f>
        <v>8</v>
      </c>
    </row>
    <row r="190" customFormat="false" ht="15.75" hidden="false" customHeight="true" outlineLevel="0" collapsed="false">
      <c r="A190" s="29" t="n">
        <v>404000</v>
      </c>
      <c r="B190" s="29" t="n">
        <v>966</v>
      </c>
      <c r="C190" s="29" t="n">
        <f aca="false">A190*B190</f>
        <v>390264000</v>
      </c>
      <c r="D190" s="29" t="n">
        <f aca="false">SUM($B$3:B190)</f>
        <v>304179</v>
      </c>
      <c r="E190" s="29" t="n">
        <f aca="false">SUM($C$3:C190)</f>
        <v>73496612404.44</v>
      </c>
      <c r="F190" s="30" t="n">
        <f aca="false">D190/$D$266</f>
        <v>0.774700044060605</v>
      </c>
      <c r="G190" s="30" t="n">
        <f aca="false">E190/$E$266</f>
        <v>0.555571288462154</v>
      </c>
      <c r="H190" s="31" t="n">
        <f aca="false">(F190-F189)*(G190+G189)</f>
        <v>0.00272644469273614</v>
      </c>
      <c r="I190" s="32" t="n">
        <f aca="false">MIN(10,ROUNDUP(F190*10,0))</f>
        <v>8</v>
      </c>
    </row>
    <row r="191" customFormat="false" ht="15.75" hidden="false" customHeight="true" outlineLevel="0" collapsed="false">
      <c r="A191" s="29" t="n">
        <v>412625</v>
      </c>
      <c r="B191" s="29" t="n">
        <v>1316</v>
      </c>
      <c r="C191" s="29" t="n">
        <f aca="false">A191*B191</f>
        <v>543014500</v>
      </c>
      <c r="D191" s="29" t="n">
        <f aca="false">SUM($B$3:B191)</f>
        <v>305495</v>
      </c>
      <c r="E191" s="29" t="n">
        <f aca="false">SUM($C$3:C191)</f>
        <v>74039626904.44</v>
      </c>
      <c r="F191" s="30" t="n">
        <f aca="false">D191/$D$266</f>
        <v>0.778051706266029</v>
      </c>
      <c r="G191" s="30" t="n">
        <f aca="false">E191/$E$266</f>
        <v>0.559676011871153</v>
      </c>
      <c r="H191" s="31" t="n">
        <f aca="false">(F191-F190)*(G191+G190)</f>
        <v>0.00373793222622859</v>
      </c>
      <c r="I191" s="32" t="n">
        <f aca="false">MIN(10,ROUNDUP(F191*10,0))</f>
        <v>8</v>
      </c>
    </row>
    <row r="192" customFormat="false" ht="15.75" hidden="false" customHeight="true" outlineLevel="0" collapsed="false">
      <c r="A192" s="29" t="n">
        <v>412727</v>
      </c>
      <c r="B192" s="29" t="n">
        <v>434</v>
      </c>
      <c r="C192" s="29" t="n">
        <f aca="false">A192*B192</f>
        <v>179123518</v>
      </c>
      <c r="D192" s="29" t="n">
        <f aca="false">SUM($B$3:B192)</f>
        <v>305929</v>
      </c>
      <c r="E192" s="29" t="n">
        <f aca="false">SUM($C$3:C192)</f>
        <v>74218750422.44</v>
      </c>
      <c r="F192" s="30" t="n">
        <f aca="false">D192/$D$266</f>
        <v>0.779157041674201</v>
      </c>
      <c r="G192" s="30" t="n">
        <f aca="false">E192/$E$266</f>
        <v>0.56103003187879</v>
      </c>
      <c r="H192" s="31" t="n">
        <f aca="false">(F192-F191)*(G192+G191)</f>
        <v>0.00123875607230896</v>
      </c>
      <c r="I192" s="32" t="n">
        <f aca="false">MIN(10,ROUNDUP(F192*10,0))</f>
        <v>8</v>
      </c>
    </row>
    <row r="193" customFormat="false" ht="15.75" hidden="false" customHeight="true" outlineLevel="0" collapsed="false">
      <c r="A193" s="29" t="n">
        <v>413635</v>
      </c>
      <c r="B193" s="29" t="n">
        <v>1024</v>
      </c>
      <c r="C193" s="29" t="n">
        <f aca="false">A193*B193</f>
        <v>423562240</v>
      </c>
      <c r="D193" s="29" t="n">
        <f aca="false">SUM($B$3:B193)</f>
        <v>306953</v>
      </c>
      <c r="E193" s="29" t="n">
        <f aca="false">SUM($C$3:C193)</f>
        <v>74642312662.44</v>
      </c>
      <c r="F193" s="30" t="n">
        <f aca="false">D193/$D$266</f>
        <v>0.7817650219921</v>
      </c>
      <c r="G193" s="30" t="n">
        <f aca="false">E193/$E$266</f>
        <v>0.564231798759225</v>
      </c>
      <c r="H193" s="31" t="n">
        <f aca="false">(F193-F192)*(G193+G192)</f>
        <v>0.00293466070678643</v>
      </c>
      <c r="I193" s="32" t="n">
        <f aca="false">MIN(10,ROUNDUP(F193*10,0))</f>
        <v>8</v>
      </c>
    </row>
    <row r="194" customFormat="false" ht="15.75" hidden="false" customHeight="true" outlineLevel="0" collapsed="false">
      <c r="A194" s="29" t="n">
        <v>413863.5</v>
      </c>
      <c r="B194" s="29" t="n">
        <v>1360</v>
      </c>
      <c r="C194" s="29" t="n">
        <f aca="false">A194*B194</f>
        <v>562854360</v>
      </c>
      <c r="D194" s="29" t="n">
        <f aca="false">SUM($B$3:B194)</f>
        <v>308313</v>
      </c>
      <c r="E194" s="29" t="n">
        <f aca="false">SUM($C$3:C194)</f>
        <v>75205167022.44</v>
      </c>
      <c r="F194" s="30" t="n">
        <f aca="false">D194/$D$266</f>
        <v>0.785228745851809</v>
      </c>
      <c r="G194" s="30" t="n">
        <f aca="false">E194/$E$266</f>
        <v>0.568486494476096</v>
      </c>
      <c r="H194" s="31" t="n">
        <f aca="false">(F194-F193)*(G194+G193)</f>
        <v>0.0039234233786081</v>
      </c>
      <c r="I194" s="32" t="n">
        <f aca="false">MIN(10,ROUNDUP(F194*10,0))</f>
        <v>8</v>
      </c>
    </row>
    <row r="195" customFormat="false" ht="15.75" hidden="false" customHeight="true" outlineLevel="0" collapsed="false">
      <c r="A195" s="29" t="n">
        <v>415000</v>
      </c>
      <c r="B195" s="29" t="n">
        <v>494</v>
      </c>
      <c r="C195" s="29" t="n">
        <f aca="false">A195*B195</f>
        <v>205010000</v>
      </c>
      <c r="D195" s="29" t="n">
        <f aca="false">SUM($B$3:B195)</f>
        <v>308807</v>
      </c>
      <c r="E195" s="29" t="n">
        <f aca="false">SUM($C$3:C195)</f>
        <v>75410177022.44</v>
      </c>
      <c r="F195" s="30" t="n">
        <f aca="false">D195/$D$266</f>
        <v>0.786486892606732</v>
      </c>
      <c r="G195" s="30" t="n">
        <f aca="false">E195/$E$266</f>
        <v>0.570036194062533</v>
      </c>
      <c r="H195" s="31" t="n">
        <f aca="false">(F195-F194)*(G195+G194)</f>
        <v>0.00143242862599181</v>
      </c>
      <c r="I195" s="32" t="n">
        <f aca="false">MIN(10,ROUNDUP(F195*10,0))</f>
        <v>8</v>
      </c>
    </row>
    <row r="196" customFormat="false" ht="15.75" hidden="false" customHeight="true" outlineLevel="0" collapsed="false">
      <c r="A196" s="29" t="n">
        <v>416666.67</v>
      </c>
      <c r="B196" s="29" t="n">
        <v>852</v>
      </c>
      <c r="C196" s="29" t="n">
        <f aca="false">A196*B196</f>
        <v>355000002.84</v>
      </c>
      <c r="D196" s="29" t="n">
        <f aca="false">SUM($B$3:B196)</f>
        <v>309659</v>
      </c>
      <c r="E196" s="29" t="n">
        <f aca="false">SUM($C$3:C196)</f>
        <v>75765177025.28</v>
      </c>
      <c r="F196" s="30" t="n">
        <f aca="false">D196/$D$266</f>
        <v>0.788656813730609</v>
      </c>
      <c r="G196" s="30" t="n">
        <f aca="false">E196/$E$266</f>
        <v>0.572719689294892</v>
      </c>
      <c r="H196" s="31" t="n">
        <f aca="false">(F196-F195)*(G196+G195)</f>
        <v>0.00247969013073153</v>
      </c>
      <c r="I196" s="32" t="n">
        <f aca="false">MIN(10,ROUNDUP(F196*10,0))</f>
        <v>8</v>
      </c>
    </row>
    <row r="197" customFormat="false" ht="15.75" hidden="false" customHeight="true" outlineLevel="0" collapsed="false">
      <c r="A197" s="29" t="n">
        <v>435000</v>
      </c>
      <c r="B197" s="29" t="n">
        <v>800</v>
      </c>
      <c r="C197" s="29" t="n">
        <f aca="false">A197*B197</f>
        <v>348000000</v>
      </c>
      <c r="D197" s="29" t="n">
        <f aca="false">SUM($B$3:B197)</f>
        <v>310459</v>
      </c>
      <c r="E197" s="29" t="n">
        <f aca="false">SUM($C$3:C197)</f>
        <v>76113177025.28</v>
      </c>
      <c r="F197" s="30" t="n">
        <f aca="false">D197/$D$266</f>
        <v>0.790694298353967</v>
      </c>
      <c r="G197" s="30" t="n">
        <f aca="false">E197/$E$266</f>
        <v>0.57535027051571</v>
      </c>
      <c r="H197" s="31" t="n">
        <f aca="false">(F197-F196)*(G197+G196)</f>
        <v>0.00233917488965354</v>
      </c>
      <c r="I197" s="32" t="n">
        <f aca="false">MIN(10,ROUNDUP(F197*10,0))</f>
        <v>8</v>
      </c>
    </row>
    <row r="198" customFormat="false" ht="15.75" hidden="false" customHeight="true" outlineLevel="0" collapsed="false">
      <c r="A198" s="29" t="n">
        <v>437500</v>
      </c>
      <c r="B198" s="29" t="n">
        <v>1132</v>
      </c>
      <c r="C198" s="29" t="n">
        <f aca="false">A198*B198</f>
        <v>495250000</v>
      </c>
      <c r="D198" s="29" t="n">
        <f aca="false">SUM($B$3:B198)</f>
        <v>311591</v>
      </c>
      <c r="E198" s="29" t="n">
        <f aca="false">SUM($C$3:C198)</f>
        <v>76608427025.28</v>
      </c>
      <c r="F198" s="30" t="n">
        <f aca="false">D198/$D$266</f>
        <v>0.793577339096019</v>
      </c>
      <c r="G198" s="30" t="n">
        <f aca="false">E198/$E$266</f>
        <v>0.579093935313439</v>
      </c>
      <c r="H198" s="31" t="n">
        <f aca="false">(F198-F197)*(G198+G197)</f>
        <v>0.00332830967983121</v>
      </c>
      <c r="I198" s="32" t="n">
        <f aca="false">MIN(10,ROUNDUP(F198*10,0))</f>
        <v>8</v>
      </c>
    </row>
    <row r="199" customFormat="false" ht="15.75" hidden="false" customHeight="true" outlineLevel="0" collapsed="false">
      <c r="A199" s="29" t="n">
        <v>448500</v>
      </c>
      <c r="B199" s="29" t="n">
        <v>1004</v>
      </c>
      <c r="C199" s="29" t="n">
        <f aca="false">A199*B199</f>
        <v>450294000</v>
      </c>
      <c r="D199" s="29" t="n">
        <f aca="false">SUM($B$3:B199)</f>
        <v>312595</v>
      </c>
      <c r="E199" s="29" t="n">
        <f aca="false">SUM($C$3:C199)</f>
        <v>77058721025.28</v>
      </c>
      <c r="F199" s="30" t="n">
        <f aca="false">D199/$D$266</f>
        <v>0.796134382298334</v>
      </c>
      <c r="G199" s="30" t="n">
        <f aca="false">E199/$E$266</f>
        <v>0.582497771348631</v>
      </c>
      <c r="H199" s="31" t="n">
        <f aca="false">(F199-F198)*(G199+G198)</f>
        <v>0.00297024017738519</v>
      </c>
      <c r="I199" s="32" t="n">
        <f aca="false">MIN(10,ROUNDUP(F199*10,0))</f>
        <v>8</v>
      </c>
    </row>
    <row r="200" customFormat="false" ht="15.75" hidden="false" customHeight="true" outlineLevel="0" collapsed="false">
      <c r="A200" s="29" t="n">
        <v>450000</v>
      </c>
      <c r="B200" s="29" t="n">
        <v>923</v>
      </c>
      <c r="C200" s="29" t="n">
        <f aca="false">A200*B200</f>
        <v>415350000</v>
      </c>
      <c r="D200" s="29" t="n">
        <f aca="false">SUM($B$3:B200)</f>
        <v>313518</v>
      </c>
      <c r="E200" s="29" t="n">
        <f aca="false">SUM($C$3:C200)</f>
        <v>77474071025.28</v>
      </c>
      <c r="F200" s="30" t="n">
        <f aca="false">D200/$D$266</f>
        <v>0.798485130182533</v>
      </c>
      <c r="G200" s="30" t="n">
        <f aca="false">E200/$E$266</f>
        <v>0.585637460745374</v>
      </c>
      <c r="H200" s="31" t="n">
        <f aca="false">(F200-F199)*(G200+G199)</f>
        <v>0.00274599142530404</v>
      </c>
      <c r="I200" s="32" t="n">
        <f aca="false">MIN(10,ROUNDUP(F200*10,0))</f>
        <v>8</v>
      </c>
    </row>
    <row r="201" customFormat="false" ht="15.75" hidden="false" customHeight="true" outlineLevel="0" collapsed="false">
      <c r="A201" s="29" t="n">
        <v>460000</v>
      </c>
      <c r="B201" s="29" t="n">
        <v>1046</v>
      </c>
      <c r="C201" s="29" t="n">
        <f aca="false">A201*B201</f>
        <v>481160000</v>
      </c>
      <c r="D201" s="29" t="n">
        <f aca="false">SUM($B$3:B201)</f>
        <v>314564</v>
      </c>
      <c r="E201" s="29" t="n">
        <f aca="false">SUM($C$3:C201)</f>
        <v>77955231025.28</v>
      </c>
      <c r="F201" s="30" t="n">
        <f aca="false">D201/$D$266</f>
        <v>0.801149141327574</v>
      </c>
      <c r="G201" s="30" t="n">
        <f aca="false">E201/$E$266</f>
        <v>0.589274617240227</v>
      </c>
      <c r="H201" s="31" t="n">
        <f aca="false">(F201-F200)*(G201+G200)</f>
        <v>0.00312997887019679</v>
      </c>
      <c r="I201" s="32" t="n">
        <f aca="false">MIN(10,ROUNDUP(F201*10,0))</f>
        <v>9</v>
      </c>
    </row>
    <row r="202" customFormat="false" ht="15.75" hidden="false" customHeight="true" outlineLevel="0" collapsed="false">
      <c r="A202" s="29" t="n">
        <v>461440</v>
      </c>
      <c r="B202" s="29" t="n">
        <v>798</v>
      </c>
      <c r="C202" s="29" t="n">
        <f aca="false">A202*B202</f>
        <v>368229120</v>
      </c>
      <c r="D202" s="29" t="n">
        <f aca="false">SUM($B$3:B202)</f>
        <v>315362</v>
      </c>
      <c r="E202" s="29" t="n">
        <f aca="false">SUM($C$3:C202)</f>
        <v>78323460145.28</v>
      </c>
      <c r="F202" s="30" t="n">
        <f aca="false">D202/$D$266</f>
        <v>0.803181532239374</v>
      </c>
      <c r="G202" s="30" t="n">
        <f aca="false">E202/$E$266</f>
        <v>0.592058113240313</v>
      </c>
      <c r="H202" s="31" t="n">
        <f aca="false">(F202-F201)*(G202+G201)</f>
        <v>0.00240092990524022</v>
      </c>
      <c r="I202" s="32" t="n">
        <f aca="false">MIN(10,ROUNDUP(F202*10,0))</f>
        <v>9</v>
      </c>
    </row>
    <row r="203" customFormat="false" ht="15.75" hidden="false" customHeight="true" outlineLevel="0" collapsed="false">
      <c r="A203" s="29" t="n">
        <v>462500</v>
      </c>
      <c r="B203" s="29" t="n">
        <v>1034</v>
      </c>
      <c r="C203" s="29" t="n">
        <f aca="false">A203*B203</f>
        <v>478225000</v>
      </c>
      <c r="D203" s="29" t="n">
        <f aca="false">SUM($B$3:B203)</f>
        <v>316396</v>
      </c>
      <c r="E203" s="29" t="n">
        <f aca="false">SUM($C$3:C203)</f>
        <v>78801685145.28</v>
      </c>
      <c r="F203" s="30" t="n">
        <f aca="false">D203/$D$266</f>
        <v>0.805814981115064</v>
      </c>
      <c r="G203" s="30" t="n">
        <f aca="false">E203/$E$266</f>
        <v>0.595673083655042</v>
      </c>
      <c r="H203" s="31" t="n">
        <f aca="false">(F203-F202)*(G203+G202)</f>
        <v>0.00312782938508674</v>
      </c>
      <c r="I203" s="32" t="n">
        <f aca="false">MIN(10,ROUNDUP(F203*10,0))</f>
        <v>9</v>
      </c>
    </row>
    <row r="204" customFormat="false" ht="15.75" hidden="false" customHeight="true" outlineLevel="0" collapsed="false">
      <c r="A204" s="29" t="n">
        <v>466000</v>
      </c>
      <c r="B204" s="29" t="n">
        <v>3065</v>
      </c>
      <c r="C204" s="29" t="n">
        <f aca="false">A204*B204</f>
        <v>1428290000</v>
      </c>
      <c r="D204" s="29" t="n">
        <f aca="false">SUM($B$3:B204)</f>
        <v>319461</v>
      </c>
      <c r="E204" s="29" t="n">
        <f aca="false">SUM($C$3:C204)</f>
        <v>80229975145.28</v>
      </c>
      <c r="F204" s="30" t="n">
        <f aca="false">D204/$D$266</f>
        <v>0.813621094078306</v>
      </c>
      <c r="G204" s="30" t="n">
        <f aca="false">E204/$E$266</f>
        <v>0.606469729781138</v>
      </c>
      <c r="H204" s="31" t="n">
        <f aca="false">(F204-F203)*(G204+G203)</f>
        <v>0.0093840625996314</v>
      </c>
      <c r="I204" s="32" t="n">
        <f aca="false">MIN(10,ROUNDUP(F204*10,0))</f>
        <v>9</v>
      </c>
    </row>
    <row r="205" customFormat="false" ht="15.75" hidden="false" customHeight="true" outlineLevel="0" collapsed="false">
      <c r="A205" s="29" t="n">
        <v>475000</v>
      </c>
      <c r="B205" s="29" t="n">
        <v>1898</v>
      </c>
      <c r="C205" s="29" t="n">
        <f aca="false">A205*B205</f>
        <v>901550000</v>
      </c>
      <c r="D205" s="29" t="n">
        <f aca="false">SUM($B$3:B205)</f>
        <v>321359</v>
      </c>
      <c r="E205" s="29" t="n">
        <f aca="false">SUM($C$3:C205)</f>
        <v>81131525145.28</v>
      </c>
      <c r="F205" s="30" t="n">
        <f aca="false">D205/$D$266</f>
        <v>0.818455026347223</v>
      </c>
      <c r="G205" s="30" t="n">
        <f aca="false">E205/$E$266</f>
        <v>0.613284673745587</v>
      </c>
      <c r="H205" s="31" t="n">
        <f aca="false">(F205-F204)*(G205+G204)</f>
        <v>0.0058962101713619</v>
      </c>
      <c r="I205" s="32" t="n">
        <f aca="false">MIN(10,ROUNDUP(F205*10,0))</f>
        <v>9</v>
      </c>
    </row>
    <row r="206" customFormat="false" ht="15.75" hidden="false" customHeight="true" outlineLevel="0" collapsed="false">
      <c r="A206" s="29" t="n">
        <v>478000</v>
      </c>
      <c r="B206" s="29" t="n">
        <v>1975</v>
      </c>
      <c r="C206" s="29" t="n">
        <f aca="false">A206*B206</f>
        <v>944050000</v>
      </c>
      <c r="D206" s="29" t="n">
        <f aca="false">SUM($B$3:B206)</f>
        <v>323334</v>
      </c>
      <c r="E206" s="29" t="n">
        <f aca="false">SUM($C$3:C206)</f>
        <v>82075575145.28</v>
      </c>
      <c r="F206" s="30" t="n">
        <f aca="false">D206/$D$266</f>
        <v>0.823485066511139</v>
      </c>
      <c r="G206" s="30" t="n">
        <f aca="false">E206/$E$266</f>
        <v>0.620420881221199</v>
      </c>
      <c r="H206" s="31" t="n">
        <f aca="false">(F206-F205)*(G206+G205)</f>
        <v>0.00620558849192874</v>
      </c>
      <c r="I206" s="32" t="n">
        <f aca="false">MIN(10,ROUNDUP(F206*10,0))</f>
        <v>9</v>
      </c>
    </row>
    <row r="207" customFormat="false" ht="15.75" hidden="false" customHeight="true" outlineLevel="0" collapsed="false">
      <c r="A207" s="29" t="n">
        <v>480000</v>
      </c>
      <c r="B207" s="29" t="n">
        <v>511</v>
      </c>
      <c r="C207" s="29" t="n">
        <f aca="false">A207*B207</f>
        <v>245280000</v>
      </c>
      <c r="D207" s="29" t="n">
        <f aca="false">SUM($B$3:B207)</f>
        <v>323845</v>
      </c>
      <c r="E207" s="29" t="n">
        <f aca="false">SUM($C$3:C207)</f>
        <v>82320855145.28</v>
      </c>
      <c r="F207" s="30" t="n">
        <f aca="false">D207/$D$266</f>
        <v>0.824786509814309</v>
      </c>
      <c r="G207" s="30" t="n">
        <f aca="false">E207/$E$266</f>
        <v>0.622274987433389</v>
      </c>
      <c r="H207" s="31" t="n">
        <f aca="false">(F207-F206)*(G207+G206)</f>
        <v>0.00161729821613775</v>
      </c>
      <c r="I207" s="32" t="n">
        <f aca="false">MIN(10,ROUNDUP(F207*10,0))</f>
        <v>9</v>
      </c>
    </row>
    <row r="208" customFormat="false" ht="15.75" hidden="false" customHeight="true" outlineLevel="0" collapsed="false">
      <c r="A208" s="29" t="n">
        <v>487500</v>
      </c>
      <c r="B208" s="29" t="n">
        <v>1408</v>
      </c>
      <c r="C208" s="29" t="n">
        <f aca="false">A208*B208</f>
        <v>686400000</v>
      </c>
      <c r="D208" s="29" t="n">
        <f aca="false">SUM($B$3:B208)</f>
        <v>325253</v>
      </c>
      <c r="E208" s="29" t="n">
        <f aca="false">SUM($C$3:C208)</f>
        <v>83007255145.28</v>
      </c>
      <c r="F208" s="30" t="n">
        <f aca="false">D208/$D$266</f>
        <v>0.828372482751419</v>
      </c>
      <c r="G208" s="30" t="n">
        <f aca="false">E208/$E$266</f>
        <v>0.627463582117208</v>
      </c>
      <c r="H208" s="31" t="n">
        <f aca="false">(F208-F207)*(G208+G207)</f>
        <v>0.00448152868887162</v>
      </c>
      <c r="I208" s="32" t="n">
        <f aca="false">MIN(10,ROUNDUP(F208*10,0))</f>
        <v>9</v>
      </c>
    </row>
    <row r="209" customFormat="false" ht="15.75" hidden="false" customHeight="true" outlineLevel="0" collapsed="false">
      <c r="A209" s="29" t="n">
        <v>489333.33</v>
      </c>
      <c r="B209" s="29" t="n">
        <v>1602</v>
      </c>
      <c r="C209" s="29" t="n">
        <f aca="false">A209*B209</f>
        <v>783911994.66</v>
      </c>
      <c r="D209" s="29" t="n">
        <f aca="false">SUM($B$3:B209)</f>
        <v>326855</v>
      </c>
      <c r="E209" s="29" t="n">
        <f aca="false">SUM($C$3:C209)</f>
        <v>83791167139.94</v>
      </c>
      <c r="F209" s="30" t="n">
        <f aca="false">D209/$D$266</f>
        <v>0.832452545709694</v>
      </c>
      <c r="G209" s="30" t="n">
        <f aca="false">E209/$E$266</f>
        <v>0.633389283760674</v>
      </c>
      <c r="H209" s="31" t="n">
        <f aca="false">(F209-F208)*(G209+G208)</f>
        <v>0.00514435907390296</v>
      </c>
      <c r="I209" s="32" t="n">
        <f aca="false">MIN(10,ROUNDUP(F209*10,0))</f>
        <v>9</v>
      </c>
    </row>
    <row r="210" customFormat="false" ht="15.75" hidden="false" customHeight="true" outlineLevel="0" collapsed="false">
      <c r="A210" s="29" t="n">
        <v>497500</v>
      </c>
      <c r="B210" s="29" t="n">
        <v>488</v>
      </c>
      <c r="C210" s="29" t="n">
        <f aca="false">A210*B210</f>
        <v>242780000</v>
      </c>
      <c r="D210" s="29" t="n">
        <f aca="false">SUM($B$3:B210)</f>
        <v>327343</v>
      </c>
      <c r="E210" s="29" t="n">
        <f aca="false">SUM($C$3:C210)</f>
        <v>84033947139.94</v>
      </c>
      <c r="F210" s="30" t="n">
        <f aca="false">D210/$D$266</f>
        <v>0.833695411329943</v>
      </c>
      <c r="G210" s="30" t="n">
        <f aca="false">E210/$E$266</f>
        <v>0.635224492119267</v>
      </c>
      <c r="H210" s="31" t="n">
        <f aca="false">(F210-F209)*(G210+G209)</f>
        <v>0.00157671644741489</v>
      </c>
      <c r="I210" s="32" t="n">
        <f aca="false">MIN(10,ROUNDUP(F210*10,0))</f>
        <v>9</v>
      </c>
    </row>
    <row r="211" customFormat="false" ht="15.75" hidden="false" customHeight="true" outlineLevel="0" collapsed="false">
      <c r="A211" s="29" t="n">
        <v>498750</v>
      </c>
      <c r="B211" s="29" t="n">
        <v>1016</v>
      </c>
      <c r="C211" s="29" t="n">
        <f aca="false">A211*B211</f>
        <v>506730000</v>
      </c>
      <c r="D211" s="29" t="n">
        <f aca="false">SUM($B$3:B211)</f>
        <v>328359</v>
      </c>
      <c r="E211" s="29" t="n">
        <f aca="false">SUM($C$3:C211)</f>
        <v>84540677139.94</v>
      </c>
      <c r="F211" s="30" t="n">
        <f aca="false">D211/$D$266</f>
        <v>0.836283016801608</v>
      </c>
      <c r="G211" s="30" t="n">
        <f aca="false">E211/$E$266</f>
        <v>0.639054935860718</v>
      </c>
      <c r="H211" s="31" t="n">
        <f aca="false">(F211-F210)*(G211+G210)</f>
        <v>0.00329733242027105</v>
      </c>
      <c r="I211" s="32" t="n">
        <f aca="false">MIN(10,ROUNDUP(F211*10,0))</f>
        <v>9</v>
      </c>
    </row>
    <row r="212" customFormat="false" ht="15.75" hidden="false" customHeight="true" outlineLevel="0" collapsed="false">
      <c r="A212" s="29" t="n">
        <v>500000</v>
      </c>
      <c r="B212" s="29" t="n">
        <v>8172</v>
      </c>
      <c r="C212" s="29" t="n">
        <f aca="false">A212*B212</f>
        <v>4086000000</v>
      </c>
      <c r="D212" s="29" t="n">
        <f aca="false">SUM($B$3:B212)</f>
        <v>336531</v>
      </c>
      <c r="E212" s="29" t="n">
        <f aca="false">SUM($C$3:C212)</f>
        <v>88626677139.94</v>
      </c>
      <c r="F212" s="30" t="n">
        <f aca="false">D212/$D$266</f>
        <v>0.857095922229212</v>
      </c>
      <c r="G212" s="30" t="n">
        <f aca="false">E212/$E$266</f>
        <v>0.669941587781007</v>
      </c>
      <c r="H212" s="31" t="n">
        <f aca="false">(F212-F211)*(G212+G211)</f>
        <v>0.0272440208516181</v>
      </c>
      <c r="I212" s="32" t="n">
        <f aca="false">MIN(10,ROUNDUP(F212*10,0))</f>
        <v>9</v>
      </c>
    </row>
    <row r="213" customFormat="false" ht="15.75" hidden="false" customHeight="true" outlineLevel="0" collapsed="false">
      <c r="A213" s="29" t="n">
        <v>505000</v>
      </c>
      <c r="B213" s="29" t="n">
        <v>1184</v>
      </c>
      <c r="C213" s="29" t="n">
        <f aca="false">A213*B213</f>
        <v>597920000</v>
      </c>
      <c r="D213" s="29" t="n">
        <f aca="false">SUM($B$3:B213)</f>
        <v>337715</v>
      </c>
      <c r="E213" s="29" t="n">
        <f aca="false">SUM($C$3:C213)</f>
        <v>89224597139.94</v>
      </c>
      <c r="F213" s="30" t="n">
        <f aca="false">D213/$D$266</f>
        <v>0.860111399471782</v>
      </c>
      <c r="G213" s="30" t="n">
        <f aca="false">E213/$E$266</f>
        <v>0.674461349630292</v>
      </c>
      <c r="H213" s="31" t="n">
        <f aca="false">(F213-F212)*(G213+G212)</f>
        <v>0.00405401646260819</v>
      </c>
      <c r="I213" s="32" t="n">
        <f aca="false">MIN(10,ROUNDUP(F213*10,0))</f>
        <v>9</v>
      </c>
    </row>
    <row r="214" customFormat="false" ht="15.75" hidden="false" customHeight="true" outlineLevel="0" collapsed="false">
      <c r="A214" s="29" t="n">
        <v>508800</v>
      </c>
      <c r="B214" s="29" t="n">
        <v>1710</v>
      </c>
      <c r="C214" s="29" t="n">
        <f aca="false">A214*B214</f>
        <v>870048000</v>
      </c>
      <c r="D214" s="29" t="n">
        <f aca="false">SUM($B$3:B214)</f>
        <v>339425</v>
      </c>
      <c r="E214" s="29" t="n">
        <f aca="false">SUM($C$3:C214)</f>
        <v>90094645139.94</v>
      </c>
      <c r="F214" s="30" t="n">
        <f aca="false">D214/$D$266</f>
        <v>0.86446652285421</v>
      </c>
      <c r="G214" s="30" t="n">
        <f aca="false">E214/$E$266</f>
        <v>0.681038165521125</v>
      </c>
      <c r="H214" s="31" t="n">
        <f aca="false">(F214-F213)*(G214+G213)</f>
        <v>0.00590336763330612</v>
      </c>
      <c r="I214" s="32" t="n">
        <f aca="false">MIN(10,ROUNDUP(F214*10,0))</f>
        <v>9</v>
      </c>
    </row>
    <row r="215" customFormat="false" ht="15.75" hidden="false" customHeight="true" outlineLevel="0" collapsed="false">
      <c r="A215" s="29" t="n">
        <v>516000</v>
      </c>
      <c r="B215" s="29" t="n">
        <v>377</v>
      </c>
      <c r="C215" s="29" t="n">
        <f aca="false">A215*B215</f>
        <v>194532000</v>
      </c>
      <c r="D215" s="29" t="n">
        <f aca="false">SUM($B$3:B215)</f>
        <v>339802</v>
      </c>
      <c r="E215" s="29" t="n">
        <f aca="false">SUM($C$3:C215)</f>
        <v>90289177139.94</v>
      </c>
      <c r="F215" s="30" t="n">
        <f aca="false">D215/$D$266</f>
        <v>0.865426687482968</v>
      </c>
      <c r="G215" s="30" t="n">
        <f aca="false">E215/$E$266</f>
        <v>0.682508660423562</v>
      </c>
      <c r="H215" s="31" t="n">
        <f aca="false">(F215-F214)*(G215+G214)</f>
        <v>0.00130922943192677</v>
      </c>
      <c r="I215" s="32" t="n">
        <f aca="false">MIN(10,ROUNDUP(F215*10,0))</f>
        <v>9</v>
      </c>
    </row>
    <row r="216" customFormat="false" ht="15.75" hidden="false" customHeight="true" outlineLevel="0" collapsed="false">
      <c r="A216" s="29" t="n">
        <v>525000</v>
      </c>
      <c r="B216" s="29" t="n">
        <v>1092</v>
      </c>
      <c r="C216" s="29" t="n">
        <f aca="false">A216*B216</f>
        <v>573300000</v>
      </c>
      <c r="D216" s="29" t="n">
        <f aca="false">SUM($B$3:B216)</f>
        <v>340894</v>
      </c>
      <c r="E216" s="29" t="n">
        <f aca="false">SUM($C$3:C216)</f>
        <v>90862477139.94</v>
      </c>
      <c r="F216" s="30" t="n">
        <f aca="false">D216/$D$266</f>
        <v>0.868207853993852</v>
      </c>
      <c r="G216" s="30" t="n">
        <f aca="false">E216/$E$266</f>
        <v>0.686842316210616</v>
      </c>
      <c r="H216" s="31" t="n">
        <f aca="false">(F216-F215)*(G216+G215)</f>
        <v>0.00380839307786128</v>
      </c>
      <c r="I216" s="32" t="n">
        <f aca="false">MIN(10,ROUNDUP(F216*10,0))</f>
        <v>9</v>
      </c>
    </row>
    <row r="217" customFormat="false" ht="15.75" hidden="false" customHeight="true" outlineLevel="0" collapsed="false">
      <c r="A217" s="29" t="n">
        <v>527000</v>
      </c>
      <c r="B217" s="29" t="n">
        <v>646</v>
      </c>
      <c r="C217" s="29" t="n">
        <f aca="false">A217*B217</f>
        <v>340442000</v>
      </c>
      <c r="D217" s="29" t="n">
        <f aca="false">SUM($B$3:B217)</f>
        <v>341540</v>
      </c>
      <c r="E217" s="29" t="n">
        <f aca="false">SUM($C$3:C217)</f>
        <v>91202919139.94</v>
      </c>
      <c r="F217" s="30" t="n">
        <f aca="false">D217/$D$266</f>
        <v>0.869853122827214</v>
      </c>
      <c r="G217" s="30" t="n">
        <f aca="false">E217/$E$266</f>
        <v>0.689415765440437</v>
      </c>
      <c r="H217" s="31" t="n">
        <f aca="false">(F217-F216)*(G217+G216)</f>
        <v>0.00226431452840263</v>
      </c>
      <c r="I217" s="32" t="n">
        <f aca="false">MIN(10,ROUNDUP(F217*10,0))</f>
        <v>9</v>
      </c>
    </row>
    <row r="218" customFormat="false" ht="15.75" hidden="false" customHeight="true" outlineLevel="0" collapsed="false">
      <c r="A218" s="29" t="n">
        <v>530000</v>
      </c>
      <c r="B218" s="29" t="n">
        <v>965</v>
      </c>
      <c r="C218" s="29" t="n">
        <f aca="false">A218*B218</f>
        <v>511450000</v>
      </c>
      <c r="D218" s="29" t="n">
        <f aca="false">SUM($B$3:B218)</f>
        <v>342505</v>
      </c>
      <c r="E218" s="29" t="n">
        <f aca="false">SUM($C$3:C218)</f>
        <v>91714369139.94</v>
      </c>
      <c r="F218" s="30" t="n">
        <f aca="false">D218/$D$266</f>
        <v>0.87231083865414</v>
      </c>
      <c r="G218" s="30" t="n">
        <f aca="false">E218/$E$266</f>
        <v>0.69328188832948</v>
      </c>
      <c r="H218" s="31" t="n">
        <f aca="false">(F218-F217)*(G218+G217)</f>
        <v>0.00339827790752362</v>
      </c>
      <c r="I218" s="32" t="n">
        <f aca="false">MIN(10,ROUNDUP(F218*10,0))</f>
        <v>9</v>
      </c>
    </row>
    <row r="219" customFormat="false" ht="15.75" hidden="false" customHeight="true" outlineLevel="0" collapsed="false">
      <c r="A219" s="29" t="n">
        <v>533333.33</v>
      </c>
      <c r="B219" s="29" t="n">
        <v>1602</v>
      </c>
      <c r="C219" s="29" t="n">
        <f aca="false">A219*B219</f>
        <v>854399994.66</v>
      </c>
      <c r="D219" s="29" t="n">
        <f aca="false">SUM($B$3:B219)</f>
        <v>344107</v>
      </c>
      <c r="E219" s="29" t="n">
        <f aca="false">SUM($C$3:C219)</f>
        <v>92568769134.6</v>
      </c>
      <c r="F219" s="30" t="n">
        <f aca="false">D219/$D$266</f>
        <v>0.876390901612414</v>
      </c>
      <c r="G219" s="30" t="n">
        <f aca="false">E219/$E$266</f>
        <v>0.699740418734708</v>
      </c>
      <c r="H219" s="31" t="n">
        <f aca="false">(F219-F218)*(G219+G218)</f>
        <v>0.00568361871510324</v>
      </c>
      <c r="I219" s="32" t="n">
        <f aca="false">MIN(10,ROUNDUP(F219*10,0))</f>
        <v>9</v>
      </c>
    </row>
    <row r="220" customFormat="false" ht="15.75" hidden="false" customHeight="true" outlineLevel="0" collapsed="false">
      <c r="A220" s="29" t="n">
        <v>550000</v>
      </c>
      <c r="B220" s="29" t="n">
        <v>512</v>
      </c>
      <c r="C220" s="29" t="n">
        <f aca="false">A220*B220</f>
        <v>281600000</v>
      </c>
      <c r="D220" s="29" t="n">
        <f aca="false">SUM($B$3:B220)</f>
        <v>344619</v>
      </c>
      <c r="E220" s="29" t="n">
        <f aca="false">SUM($C$3:C220)</f>
        <v>92850369134.6</v>
      </c>
      <c r="F220" s="30" t="n">
        <f aca="false">D220/$D$266</f>
        <v>0.877694891771364</v>
      </c>
      <c r="G220" s="30" t="n">
        <f aca="false">E220/$E$266</f>
        <v>0.701869072963967</v>
      </c>
      <c r="H220" s="31" t="n">
        <f aca="false">(F220-F219)*(G220+G219)</f>
        <v>0.00182768498386489</v>
      </c>
      <c r="I220" s="32" t="n">
        <f aca="false">MIN(10,ROUNDUP(F220*10,0))</f>
        <v>9</v>
      </c>
    </row>
    <row r="221" customFormat="false" ht="15.75" hidden="false" customHeight="true" outlineLevel="0" collapsed="false">
      <c r="A221" s="29" t="n">
        <v>558333.33</v>
      </c>
      <c r="B221" s="29" t="n">
        <v>717</v>
      </c>
      <c r="C221" s="29" t="n">
        <f aca="false">A221*B221</f>
        <v>400324997.61</v>
      </c>
      <c r="D221" s="29" t="n">
        <f aca="false">SUM($B$3:B221)</f>
        <v>345336</v>
      </c>
      <c r="E221" s="29" t="n">
        <f aca="false">SUM($C$3:C221)</f>
        <v>93250694132.21</v>
      </c>
      <c r="F221" s="30" t="n">
        <f aca="false">D221/$D$266</f>
        <v>0.879520987365049</v>
      </c>
      <c r="G221" s="30" t="n">
        <f aca="false">E221/$E$266</f>
        <v>0.704895186242521</v>
      </c>
      <c r="H221" s="31" t="n">
        <f aca="false">(F221-F220)*(G221+G220)</f>
        <v>0.0025688860150903</v>
      </c>
      <c r="I221" s="32" t="n">
        <f aca="false">MIN(10,ROUNDUP(F221*10,0))</f>
        <v>9</v>
      </c>
    </row>
    <row r="222" customFormat="false" ht="15.75" hidden="false" customHeight="true" outlineLevel="0" collapsed="false">
      <c r="A222" s="29" t="n">
        <v>560000</v>
      </c>
      <c r="B222" s="29" t="n">
        <v>422</v>
      </c>
      <c r="C222" s="29" t="n">
        <f aca="false">A222*B222</f>
        <v>236320000</v>
      </c>
      <c r="D222" s="29" t="n">
        <f aca="false">SUM($B$3:B222)</f>
        <v>345758</v>
      </c>
      <c r="E222" s="29" t="n">
        <f aca="false">SUM($C$3:C222)</f>
        <v>93487014132.21</v>
      </c>
      <c r="F222" s="30" t="n">
        <f aca="false">D222/$D$266</f>
        <v>0.88059576050387</v>
      </c>
      <c r="G222" s="30" t="n">
        <f aca="false">E222/$E$266</f>
        <v>0.706681562547417</v>
      </c>
      <c r="H222" s="31" t="n">
        <f aca="false">(F222-F221)*(G222+G221)</f>
        <v>0.00151712477298431</v>
      </c>
      <c r="I222" s="32" t="n">
        <f aca="false">MIN(10,ROUNDUP(F222*10,0))</f>
        <v>9</v>
      </c>
    </row>
    <row r="223" customFormat="false" ht="15.75" hidden="false" customHeight="true" outlineLevel="0" collapsed="false">
      <c r="A223" s="29" t="n">
        <v>566666.67</v>
      </c>
      <c r="B223" s="29" t="n">
        <v>1041</v>
      </c>
      <c r="C223" s="29" t="n">
        <f aca="false">A223*B223</f>
        <v>589900003.47</v>
      </c>
      <c r="D223" s="29" t="n">
        <f aca="false">SUM($B$3:B223)</f>
        <v>346799</v>
      </c>
      <c r="E223" s="29" t="n">
        <f aca="false">SUM($C$3:C223)</f>
        <v>94076914135.68</v>
      </c>
      <c r="F223" s="30" t="n">
        <f aca="false">D223/$D$266</f>
        <v>0.883247037370015</v>
      </c>
      <c r="G223" s="30" t="n">
        <f aca="false">E223/$E$266</f>
        <v>0.71114070010859</v>
      </c>
      <c r="H223" s="31" t="n">
        <f aca="false">(F223-F222)*(G223+G222)</f>
        <v>0.00375903936528519</v>
      </c>
      <c r="I223" s="32" t="n">
        <f aca="false">MIN(10,ROUNDUP(F223*10,0))</f>
        <v>9</v>
      </c>
    </row>
    <row r="224" customFormat="false" ht="15.75" hidden="false" customHeight="true" outlineLevel="0" collapsed="false">
      <c r="A224" s="29" t="n">
        <v>575000</v>
      </c>
      <c r="B224" s="29" t="n">
        <v>2831</v>
      </c>
      <c r="C224" s="29" t="n">
        <f aca="false">A224*B224</f>
        <v>1627825000</v>
      </c>
      <c r="D224" s="29" t="n">
        <f aca="false">SUM($B$3:B224)</f>
        <v>349630</v>
      </c>
      <c r="E224" s="29" t="n">
        <f aca="false">SUM($C$3:C224)</f>
        <v>95704739135.68</v>
      </c>
      <c r="F224" s="30" t="n">
        <f aca="false">D224/$D$266</f>
        <v>0.890457186080924</v>
      </c>
      <c r="G224" s="30" t="n">
        <f aca="false">E224/$E$266</f>
        <v>0.723445659521743</v>
      </c>
      <c r="H224" s="31" t="n">
        <f aca="false">(F224-F223)*(G224+G223)</f>
        <v>0.0103435809915762</v>
      </c>
      <c r="I224" s="32" t="n">
        <f aca="false">MIN(10,ROUNDUP(F224*10,0))</f>
        <v>9</v>
      </c>
    </row>
    <row r="225" customFormat="false" ht="15.75" hidden="false" customHeight="true" outlineLevel="0" collapsed="false">
      <c r="A225" s="29" t="n">
        <v>575152</v>
      </c>
      <c r="B225" s="29" t="n">
        <v>852</v>
      </c>
      <c r="C225" s="29" t="n">
        <f aca="false">A225*B225</f>
        <v>490029504</v>
      </c>
      <c r="D225" s="29" t="n">
        <f aca="false">SUM($B$3:B225)</f>
        <v>350482</v>
      </c>
      <c r="E225" s="29" t="n">
        <f aca="false">SUM($C$3:C225)</f>
        <v>96194768639.68</v>
      </c>
      <c r="F225" s="30" t="n">
        <f aca="false">D225/$D$266</f>
        <v>0.8926271072048</v>
      </c>
      <c r="G225" s="30" t="n">
        <f aca="false">E225/$E$266</f>
        <v>0.727149861851827</v>
      </c>
      <c r="H225" s="31" t="n">
        <f aca="false">(F225-F224)*(G225+G224)</f>
        <v>0.00314767786402913</v>
      </c>
      <c r="I225" s="32" t="n">
        <f aca="false">MIN(10,ROUNDUP(F225*10,0))</f>
        <v>9</v>
      </c>
    </row>
    <row r="226" customFormat="false" ht="15.75" hidden="false" customHeight="true" outlineLevel="0" collapsed="false">
      <c r="A226" s="29" t="n">
        <v>580000</v>
      </c>
      <c r="B226" s="29" t="n">
        <v>732</v>
      </c>
      <c r="C226" s="29" t="n">
        <f aca="false">A226*B226</f>
        <v>424560000</v>
      </c>
      <c r="D226" s="29" t="n">
        <f aca="false">SUM($B$3:B226)</f>
        <v>351214</v>
      </c>
      <c r="E226" s="29" t="n">
        <f aca="false">SUM($C$3:C226)</f>
        <v>96619328639.68</v>
      </c>
      <c r="F226" s="30" t="n">
        <f aca="false">D226/$D$266</f>
        <v>0.894491405635173</v>
      </c>
      <c r="G226" s="30" t="n">
        <f aca="false">E226/$E$266</f>
        <v>0.730359170941224</v>
      </c>
      <c r="H226" s="31" t="n">
        <f aca="false">(F226-F225)*(G226+G225)</f>
        <v>0.00271723180209015</v>
      </c>
      <c r="I226" s="32" t="n">
        <f aca="false">MIN(10,ROUNDUP(F226*10,0))</f>
        <v>9</v>
      </c>
    </row>
    <row r="227" customFormat="false" ht="15.75" hidden="false" customHeight="true" outlineLevel="0" collapsed="false">
      <c r="A227" s="29" t="n">
        <v>583333.33</v>
      </c>
      <c r="B227" s="29" t="n">
        <v>1185</v>
      </c>
      <c r="C227" s="29" t="n">
        <f aca="false">A227*B227</f>
        <v>691249996.05</v>
      </c>
      <c r="D227" s="29" t="n">
        <f aca="false">SUM($B$3:B227)</f>
        <v>352399</v>
      </c>
      <c r="E227" s="29" t="n">
        <f aca="false">SUM($C$3:C227)</f>
        <v>97310578635.73</v>
      </c>
      <c r="F227" s="30" t="n">
        <f aca="false">D227/$D$266</f>
        <v>0.897509429733522</v>
      </c>
      <c r="G227" s="30" t="n">
        <f aca="false">E227/$E$266</f>
        <v>0.735584427431165</v>
      </c>
      <c r="H227" s="31" t="n">
        <f aca="false">(F227-F226)*(G227+G226)</f>
        <v>0.00442425310670889</v>
      </c>
      <c r="I227" s="32" t="n">
        <f aca="false">MIN(10,ROUNDUP(F227*10,0))</f>
        <v>9</v>
      </c>
    </row>
    <row r="228" customFormat="false" ht="15.75" hidden="false" customHeight="true" outlineLevel="0" collapsed="false">
      <c r="A228" s="29" t="n">
        <v>585000</v>
      </c>
      <c r="B228" s="29" t="n">
        <v>488</v>
      </c>
      <c r="C228" s="29" t="n">
        <f aca="false">A228*B228</f>
        <v>285480000</v>
      </c>
      <c r="D228" s="29" t="n">
        <f aca="false">SUM($B$3:B228)</f>
        <v>352887</v>
      </c>
      <c r="E228" s="29" t="n">
        <f aca="false">SUM($C$3:C228)</f>
        <v>97596058635.73</v>
      </c>
      <c r="F228" s="30" t="n">
        <f aca="false">D228/$D$266</f>
        <v>0.898752295353771</v>
      </c>
      <c r="G228" s="30" t="n">
        <f aca="false">E228/$E$266</f>
        <v>0.737742411129208</v>
      </c>
      <c r="H228" s="31" t="n">
        <f aca="false">(F228-F227)*(G228+G227)</f>
        <v>0.00183114727503618</v>
      </c>
      <c r="I228" s="32" t="n">
        <f aca="false">MIN(10,ROUNDUP(F228*10,0))</f>
        <v>9</v>
      </c>
    </row>
    <row r="229" customFormat="false" ht="15.75" hidden="false" customHeight="true" outlineLevel="0" collapsed="false">
      <c r="A229" s="29" t="n">
        <v>590000</v>
      </c>
      <c r="B229" s="29" t="n">
        <v>652</v>
      </c>
      <c r="C229" s="29" t="n">
        <f aca="false">A229*B229</f>
        <v>384680000</v>
      </c>
      <c r="D229" s="29" t="n">
        <f aca="false">SUM($B$3:B229)</f>
        <v>353539</v>
      </c>
      <c r="E229" s="29" t="n">
        <f aca="false">SUM($C$3:C229)</f>
        <v>97980738635.73</v>
      </c>
      <c r="F229" s="30" t="n">
        <f aca="false">D229/$D$266</f>
        <v>0.900412845321808</v>
      </c>
      <c r="G229" s="30" t="n">
        <f aca="false">E229/$E$266</f>
        <v>0.740650261658013</v>
      </c>
      <c r="H229" s="31" t="n">
        <f aca="false">(F229-F228)*(G229+G228)</f>
        <v>0.00245494490554295</v>
      </c>
      <c r="I229" s="32" t="n">
        <f aca="false">MIN(10,ROUNDUP(F229*10,0))</f>
        <v>10</v>
      </c>
    </row>
    <row r="230" customFormat="false" ht="15.75" hidden="false" customHeight="true" outlineLevel="0" collapsed="false">
      <c r="A230" s="29" t="n">
        <v>593333.33</v>
      </c>
      <c r="B230" s="29" t="n">
        <v>903</v>
      </c>
      <c r="C230" s="29" t="n">
        <f aca="false">A230*B230</f>
        <v>535779996.99</v>
      </c>
      <c r="D230" s="29" t="n">
        <f aca="false">SUM($B$3:B230)</f>
        <v>354442</v>
      </c>
      <c r="E230" s="29" t="n">
        <f aca="false">SUM($C$3:C230)</f>
        <v>98516518632.72</v>
      </c>
      <c r="F230" s="30" t="n">
        <f aca="false">D230/$D$266</f>
        <v>0.902712656090424</v>
      </c>
      <c r="G230" s="30" t="n">
        <f aca="false">E230/$E$266</f>
        <v>0.744700298435518</v>
      </c>
      <c r="H230" s="31" t="n">
        <f aca="false">(F230-F229)*(G230+G229)</f>
        <v>0.00341602521327236</v>
      </c>
      <c r="I230" s="32" t="n">
        <f aca="false">MIN(10,ROUNDUP(F230*10,0))</f>
        <v>10</v>
      </c>
    </row>
    <row r="231" customFormat="false" ht="15.75" hidden="false" customHeight="true" outlineLevel="0" collapsed="false">
      <c r="A231" s="29" t="n">
        <v>600000</v>
      </c>
      <c r="B231" s="29" t="n">
        <v>2457</v>
      </c>
      <c r="C231" s="29" t="n">
        <f aca="false">A231*B231</f>
        <v>1474200000</v>
      </c>
      <c r="D231" s="29" t="n">
        <f aca="false">SUM($B$3:B231)</f>
        <v>356899</v>
      </c>
      <c r="E231" s="29" t="n">
        <f aca="false">SUM($C$3:C231)</f>
        <v>99990718632.72</v>
      </c>
      <c r="F231" s="30" t="n">
        <f aca="false">D231/$D$266</f>
        <v>0.908970280739913</v>
      </c>
      <c r="G231" s="30" t="n">
        <f aca="false">E231/$E$266</f>
        <v>0.755843984745085</v>
      </c>
      <c r="H231" s="31" t="n">
        <f aca="false">(F231-F230)*(G231+G230)</f>
        <v>0.00938984289408071</v>
      </c>
      <c r="I231" s="32" t="n">
        <f aca="false">MIN(10,ROUNDUP(F231*10,0))</f>
        <v>10</v>
      </c>
    </row>
    <row r="232" customFormat="false" ht="15.75" hidden="false" customHeight="true" outlineLevel="0" collapsed="false">
      <c r="A232" s="29" t="n">
        <v>605000</v>
      </c>
      <c r="B232" s="29" t="n">
        <v>485</v>
      </c>
      <c r="C232" s="29" t="n">
        <f aca="false">A232*B232</f>
        <v>293425000</v>
      </c>
      <c r="D232" s="29" t="n">
        <f aca="false">SUM($B$3:B232)</f>
        <v>357384</v>
      </c>
      <c r="E232" s="29" t="n">
        <f aca="false">SUM($C$3:C232)</f>
        <v>100284143632.72</v>
      </c>
      <c r="F232" s="30" t="n">
        <f aca="false">D232/$D$266</f>
        <v>0.910205505792823</v>
      </c>
      <c r="G232" s="30" t="n">
        <f aca="false">E232/$E$266</f>
        <v>0.758062025821862</v>
      </c>
      <c r="H232" s="31" t="n">
        <f aca="false">(F232-F231)*(G232+G231)</f>
        <v>0.00187001463200461</v>
      </c>
      <c r="I232" s="32" t="n">
        <f aca="false">MIN(10,ROUNDUP(F232*10,0))</f>
        <v>10</v>
      </c>
    </row>
    <row r="233" customFormat="false" ht="15.75" hidden="false" customHeight="true" outlineLevel="0" collapsed="false">
      <c r="A233" s="29" t="n">
        <v>609500</v>
      </c>
      <c r="B233" s="29" t="n">
        <v>484</v>
      </c>
      <c r="C233" s="29" t="n">
        <f aca="false">A233*B233</f>
        <v>294998000</v>
      </c>
      <c r="D233" s="29" t="n">
        <f aca="false">SUM($B$3:B233)</f>
        <v>357868</v>
      </c>
      <c r="E233" s="29" t="n">
        <f aca="false">SUM($C$3:C233)</f>
        <v>100579141632.72</v>
      </c>
      <c r="F233" s="30" t="n">
        <f aca="false">D233/$D$266</f>
        <v>0.911438183989955</v>
      </c>
      <c r="G233" s="30" t="n">
        <f aca="false">E233/$E$266</f>
        <v>0.760291957428122</v>
      </c>
      <c r="H233" s="31" t="n">
        <f aca="false">(F233-F232)*(G233+G232)</f>
        <v>0.00187164185068047</v>
      </c>
      <c r="I233" s="32" t="n">
        <f aca="false">MIN(10,ROUNDUP(F233*10,0))</f>
        <v>10</v>
      </c>
    </row>
    <row r="234" customFormat="false" ht="15.75" hidden="false" customHeight="true" outlineLevel="0" collapsed="false">
      <c r="A234" s="29" t="n">
        <v>617500</v>
      </c>
      <c r="B234" s="29" t="n">
        <v>2088</v>
      </c>
      <c r="C234" s="29" t="n">
        <f aca="false">A234*B234</f>
        <v>1289340000</v>
      </c>
      <c r="D234" s="29" t="n">
        <f aca="false">SUM($B$3:B234)</f>
        <v>359956</v>
      </c>
      <c r="E234" s="29" t="n">
        <f aca="false">SUM($C$3:C234)</f>
        <v>101868481632.72</v>
      </c>
      <c r="F234" s="30" t="n">
        <f aca="false">D234/$D$266</f>
        <v>0.91675601885692</v>
      </c>
      <c r="G234" s="30" t="n">
        <f aca="false">E234/$E$266</f>
        <v>0.770038260851252</v>
      </c>
      <c r="H234" s="31" t="n">
        <f aca="false">(F234-F233)*(G234+G233)</f>
        <v>0.00813804339273608</v>
      </c>
      <c r="I234" s="32" t="n">
        <f aca="false">MIN(10,ROUNDUP(F234*10,0))</f>
        <v>10</v>
      </c>
    </row>
    <row r="235" customFormat="false" ht="15.75" hidden="false" customHeight="true" outlineLevel="0" collapsed="false">
      <c r="A235" s="29" t="n">
        <v>620000</v>
      </c>
      <c r="B235" s="29" t="n">
        <v>363</v>
      </c>
      <c r="C235" s="29" t="n">
        <f aca="false">A235*B235</f>
        <v>225060000</v>
      </c>
      <c r="D235" s="29" t="n">
        <f aca="false">SUM($B$3:B235)</f>
        <v>360319</v>
      </c>
      <c r="E235" s="29" t="n">
        <f aca="false">SUM($C$3:C235)</f>
        <v>102093541632.72</v>
      </c>
      <c r="F235" s="30" t="n">
        <f aca="false">D235/$D$266</f>
        <v>0.917680527504769</v>
      </c>
      <c r="G235" s="30" t="n">
        <f aca="false">E235/$E$266</f>
        <v>0.771739521223542</v>
      </c>
      <c r="H235" s="31" t="n">
        <f aca="false">(F235-F234)*(G235+G234)</f>
        <v>0.00142538689258941</v>
      </c>
      <c r="I235" s="32" t="n">
        <f aca="false">MIN(10,ROUNDUP(F235*10,0))</f>
        <v>10</v>
      </c>
    </row>
    <row r="236" customFormat="false" ht="15.75" hidden="false" customHeight="true" outlineLevel="0" collapsed="false">
      <c r="A236" s="29" t="n">
        <v>650000</v>
      </c>
      <c r="B236" s="29" t="n">
        <v>2938</v>
      </c>
      <c r="C236" s="29" t="n">
        <f aca="false">A236*B236</f>
        <v>1909700000</v>
      </c>
      <c r="D236" s="29" t="n">
        <f aca="false">SUM($B$3:B236)</f>
        <v>363257</v>
      </c>
      <c r="E236" s="29" t="n">
        <f aca="false">SUM($C$3:C236)</f>
        <v>104003241632.72</v>
      </c>
      <c r="F236" s="30" t="n">
        <f aca="false">D236/$D$266</f>
        <v>0.925163189784052</v>
      </c>
      <c r="G236" s="30" t="n">
        <f aca="false">E236/$E$266</f>
        <v>0.786175213629851</v>
      </c>
      <c r="H236" s="31" t="n">
        <f aca="false">(F236-F235)*(G236+G235)</f>
        <v>0.0116573498208268</v>
      </c>
      <c r="I236" s="32" t="n">
        <f aca="false">MIN(10,ROUNDUP(F236*10,0))</f>
        <v>10</v>
      </c>
    </row>
    <row r="237" customFormat="false" ht="15.75" hidden="false" customHeight="true" outlineLevel="0" collapsed="false">
      <c r="A237" s="29" t="n">
        <v>657160</v>
      </c>
      <c r="B237" s="29" t="n">
        <v>676</v>
      </c>
      <c r="C237" s="29" t="n">
        <f aca="false">A237*B237</f>
        <v>444240160</v>
      </c>
      <c r="D237" s="29" t="n">
        <f aca="false">SUM($B$3:B237)</f>
        <v>363933</v>
      </c>
      <c r="E237" s="29" t="n">
        <f aca="false">SUM($C$3:C237)</f>
        <v>104447481792.72</v>
      </c>
      <c r="F237" s="30" t="n">
        <f aca="false">D237/$D$266</f>
        <v>0.92688486429079</v>
      </c>
      <c r="G237" s="30" t="n">
        <f aca="false">E237/$E$266</f>
        <v>0.789533287832233</v>
      </c>
      <c r="H237" s="31" t="n">
        <f aca="false">(F237-F236)*(G237+G236)</f>
        <v>0.00271285715701707</v>
      </c>
      <c r="I237" s="32" t="n">
        <f aca="false">MIN(10,ROUNDUP(F237*10,0))</f>
        <v>10</v>
      </c>
    </row>
    <row r="238" customFormat="false" ht="15.75" hidden="false" customHeight="true" outlineLevel="0" collapsed="false">
      <c r="A238" s="29" t="n">
        <v>660000</v>
      </c>
      <c r="B238" s="29" t="n">
        <v>283</v>
      </c>
      <c r="C238" s="29" t="n">
        <f aca="false">A238*B238</f>
        <v>186780000</v>
      </c>
      <c r="D238" s="29" t="n">
        <f aca="false">SUM($B$3:B238)</f>
        <v>364216</v>
      </c>
      <c r="E238" s="29" t="n">
        <f aca="false">SUM($C$3:C238)</f>
        <v>104634261792.72</v>
      </c>
      <c r="F238" s="30" t="n">
        <f aca="false">D238/$D$266</f>
        <v>0.927605624476303</v>
      </c>
      <c r="G238" s="30" t="n">
        <f aca="false">E238/$E$266</f>
        <v>0.790945184270234</v>
      </c>
      <c r="H238" s="31" t="n">
        <f aca="false">(F238-F237)*(G238+G237)</f>
        <v>0.00113914595675193</v>
      </c>
      <c r="I238" s="32" t="n">
        <f aca="false">MIN(10,ROUNDUP(F238*10,0))</f>
        <v>10</v>
      </c>
    </row>
    <row r="239" customFormat="false" ht="15.75" hidden="false" customHeight="true" outlineLevel="0" collapsed="false">
      <c r="A239" s="29" t="n">
        <v>666666.67</v>
      </c>
      <c r="B239" s="29" t="n">
        <v>978</v>
      </c>
      <c r="C239" s="29" t="n">
        <f aca="false">A239*B239</f>
        <v>652000003.26</v>
      </c>
      <c r="D239" s="29" t="n">
        <f aca="false">SUM($B$3:B239)</f>
        <v>365194</v>
      </c>
      <c r="E239" s="29" t="n">
        <f aca="false">SUM($C$3:C239)</f>
        <v>105286261795.98</v>
      </c>
      <c r="F239" s="30" t="n">
        <f aca="false">D239/$D$266</f>
        <v>0.930096449428358</v>
      </c>
      <c r="G239" s="30" t="n">
        <f aca="false">E239/$E$266</f>
        <v>0.79587374451319</v>
      </c>
      <c r="H239" s="31" t="n">
        <f aca="false">(F239-F238)*(G239+G238)</f>
        <v>0.00395248818220763</v>
      </c>
      <c r="I239" s="32" t="n">
        <f aca="false">MIN(10,ROUNDUP(F239*10,0))</f>
        <v>10</v>
      </c>
    </row>
    <row r="240" customFormat="false" ht="15.75" hidden="false" customHeight="true" outlineLevel="0" collapsed="false">
      <c r="A240" s="29" t="n">
        <v>675000</v>
      </c>
      <c r="B240" s="29" t="n">
        <v>538</v>
      </c>
      <c r="C240" s="29" t="n">
        <f aca="false">A240*B240</f>
        <v>363150000</v>
      </c>
      <c r="D240" s="29" t="n">
        <f aca="false">SUM($B$3:B240)</f>
        <v>365732</v>
      </c>
      <c r="E240" s="29" t="n">
        <f aca="false">SUM($C$3:C240)</f>
        <v>105649411795.98</v>
      </c>
      <c r="F240" s="30" t="n">
        <f aca="false">D240/$D$266</f>
        <v>0.931466657837567</v>
      </c>
      <c r="G240" s="30" t="n">
        <f aca="false">E240/$E$266</f>
        <v>0.798618846726811</v>
      </c>
      <c r="H240" s="31" t="n">
        <f aca="false">(F240-F239)*(G240+G239)</f>
        <v>0.00218478715693759</v>
      </c>
      <c r="I240" s="32" t="n">
        <f aca="false">MIN(10,ROUNDUP(F240*10,0))</f>
        <v>10</v>
      </c>
    </row>
    <row r="241" customFormat="false" ht="15.75" hidden="false" customHeight="true" outlineLevel="0" collapsed="false">
      <c r="A241" s="29" t="n">
        <v>700000</v>
      </c>
      <c r="B241" s="29" t="n">
        <v>2353</v>
      </c>
      <c r="C241" s="29" t="n">
        <f aca="false">A241*B241</f>
        <v>1647100000</v>
      </c>
      <c r="D241" s="29" t="n">
        <f aca="false">SUM($B$3:B241)</f>
        <v>368085</v>
      </c>
      <c r="E241" s="29" t="n">
        <f aca="false">SUM($C$3:C241)</f>
        <v>107296511795.98</v>
      </c>
      <c r="F241" s="30" t="n">
        <f aca="false">D241/$D$266</f>
        <v>0.937459409486019</v>
      </c>
      <c r="G241" s="30" t="n">
        <f aca="false">E241/$E$266</f>
        <v>0.811069508591203</v>
      </c>
      <c r="H241" s="31" t="n">
        <f aca="false">(F241-F240)*(G241+G240)</f>
        <v>0.00964646254482661</v>
      </c>
      <c r="I241" s="32" t="n">
        <f aca="false">MIN(10,ROUNDUP(F241*10,0))</f>
        <v>10</v>
      </c>
    </row>
    <row r="242" customFormat="false" ht="15.75" hidden="false" customHeight="true" outlineLevel="0" collapsed="false">
      <c r="A242" s="29" t="n">
        <v>706333.33</v>
      </c>
      <c r="B242" s="29" t="n">
        <v>1119</v>
      </c>
      <c r="C242" s="29" t="n">
        <f aca="false">A242*B242</f>
        <v>790386996.27</v>
      </c>
      <c r="D242" s="29" t="n">
        <f aca="false">SUM($B$3:B242)</f>
        <v>369204</v>
      </c>
      <c r="E242" s="29" t="n">
        <f aca="false">SUM($C$3:C242)</f>
        <v>108086898792.25</v>
      </c>
      <c r="F242" s="30" t="n">
        <f aca="false">D242/$D$266</f>
        <v>0.940309341102941</v>
      </c>
      <c r="G242" s="30" t="n">
        <f aca="false">E242/$E$266</f>
        <v>0.817044155687658</v>
      </c>
      <c r="H242" s="31" t="n">
        <f aca="false">(F242-F241)*(G242+G241)</f>
        <v>0.00464001260777167</v>
      </c>
      <c r="I242" s="32" t="n">
        <f aca="false">MIN(10,ROUNDUP(F242*10,0))</f>
        <v>10</v>
      </c>
    </row>
    <row r="243" customFormat="false" ht="15.75" hidden="false" customHeight="true" outlineLevel="0" collapsed="false">
      <c r="A243" s="29" t="n">
        <v>726666.67</v>
      </c>
      <c r="B243" s="29" t="n">
        <v>1374</v>
      </c>
      <c r="C243" s="29" t="n">
        <f aca="false">A243*B243</f>
        <v>998440004.58</v>
      </c>
      <c r="D243" s="29" t="n">
        <f aca="false">SUM($B$3:B243)</f>
        <v>370578</v>
      </c>
      <c r="E243" s="29" t="n">
        <f aca="false">SUM($C$3:C243)</f>
        <v>109085338796.83</v>
      </c>
      <c r="F243" s="30" t="n">
        <f aca="false">D243/$D$266</f>
        <v>0.943808720943559</v>
      </c>
      <c r="G243" s="30" t="n">
        <f aca="false">E243/$E$266</f>
        <v>0.824591504900765</v>
      </c>
      <c r="H243" s="31" t="n">
        <f aca="false">(F243-F242)*(G243+G242)</f>
        <v>0.00574470673630236</v>
      </c>
      <c r="I243" s="32" t="n">
        <f aca="false">MIN(10,ROUNDUP(F243*10,0))</f>
        <v>10</v>
      </c>
    </row>
    <row r="244" customFormat="false" ht="15.75" hidden="false" customHeight="true" outlineLevel="0" collapsed="false">
      <c r="A244" s="29" t="n">
        <v>750000</v>
      </c>
      <c r="B244" s="29" t="n">
        <v>519</v>
      </c>
      <c r="C244" s="29" t="n">
        <f aca="false">A244*B244</f>
        <v>389250000</v>
      </c>
      <c r="D244" s="29" t="n">
        <f aca="false">SUM($B$3:B244)</f>
        <v>371097</v>
      </c>
      <c r="E244" s="29" t="n">
        <f aca="false">SUM($C$3:C244)</f>
        <v>109474588796.83</v>
      </c>
      <c r="F244" s="30" t="n">
        <f aca="false">D244/$D$266</f>
        <v>0.945130539092963</v>
      </c>
      <c r="G244" s="30" t="n">
        <f aca="false">E244/$E$266</f>
        <v>0.827533900705947</v>
      </c>
      <c r="H244" s="31" t="n">
        <f aca="false">(F244-F243)*(G244+G243)</f>
        <v>0.0021838093462217</v>
      </c>
      <c r="I244" s="32" t="n">
        <f aca="false">MIN(10,ROUNDUP(F244*10,0))</f>
        <v>10</v>
      </c>
    </row>
    <row r="245" customFormat="false" ht="15.75" hidden="false" customHeight="true" outlineLevel="0" collapsed="false">
      <c r="A245" s="29" t="n">
        <v>760000</v>
      </c>
      <c r="B245" s="29" t="n">
        <v>1392</v>
      </c>
      <c r="C245" s="29" t="n">
        <f aca="false">A245*B245</f>
        <v>1057920000</v>
      </c>
      <c r="D245" s="29" t="n">
        <f aca="false">SUM($B$3:B245)</f>
        <v>372489</v>
      </c>
      <c r="E245" s="29" t="n">
        <f aca="false">SUM($C$3:C245)</f>
        <v>110532508796.83</v>
      </c>
      <c r="F245" s="30" t="n">
        <f aca="false">D245/$D$266</f>
        <v>0.948675762337606</v>
      </c>
      <c r="G245" s="30" t="n">
        <f aca="false">E245/$E$266</f>
        <v>0.835530867617232</v>
      </c>
      <c r="H245" s="31" t="n">
        <f aca="false">(F245-F244)*(G245+G244)</f>
        <v>0.00589593587400674</v>
      </c>
      <c r="I245" s="32" t="n">
        <f aca="false">MIN(10,ROUNDUP(F245*10,0))</f>
        <v>10</v>
      </c>
    </row>
    <row r="246" customFormat="false" ht="15.75" hidden="false" customHeight="true" outlineLevel="0" collapsed="false">
      <c r="A246" s="29" t="n">
        <v>775000</v>
      </c>
      <c r="B246" s="29" t="n">
        <v>1038</v>
      </c>
      <c r="C246" s="29" t="n">
        <f aca="false">A246*B246</f>
        <v>804450000</v>
      </c>
      <c r="D246" s="29" t="n">
        <f aca="false">SUM($B$3:B246)</f>
        <v>373527</v>
      </c>
      <c r="E246" s="29" t="n">
        <f aca="false">SUM($C$3:C246)</f>
        <v>111336958796.83</v>
      </c>
      <c r="F246" s="30" t="n">
        <f aca="false">D246/$D$266</f>
        <v>0.951319398636414</v>
      </c>
      <c r="G246" s="30" t="n">
        <f aca="false">E246/$E$266</f>
        <v>0.841611818947941</v>
      </c>
      <c r="H246" s="31" t="n">
        <f aca="false">(F246-F245)*(G246+G245)</f>
        <v>0.00443375528448301</v>
      </c>
      <c r="I246" s="32" t="n">
        <f aca="false">MIN(10,ROUNDUP(F246*10,0))</f>
        <v>10</v>
      </c>
    </row>
    <row r="247" customFormat="false" ht="15.75" hidden="false" customHeight="true" outlineLevel="0" collapsed="false">
      <c r="A247" s="29" t="n">
        <v>780000</v>
      </c>
      <c r="B247" s="29" t="n">
        <v>633</v>
      </c>
      <c r="C247" s="29" t="n">
        <f aca="false">A247*B247</f>
        <v>493740000</v>
      </c>
      <c r="D247" s="29" t="n">
        <f aca="false">SUM($B$3:B247)</f>
        <v>374160</v>
      </c>
      <c r="E247" s="29" t="n">
        <f aca="false">SUM($C$3:C247)</f>
        <v>111830698796.83</v>
      </c>
      <c r="F247" s="30" t="n">
        <f aca="false">D247/$D$266</f>
        <v>0.952931558344646</v>
      </c>
      <c r="G247" s="30" t="n">
        <f aca="false">E247/$E$266</f>
        <v>0.845344069442098</v>
      </c>
      <c r="H247" s="31" t="n">
        <f aca="false">(F247-F246)*(G247+G246)</f>
        <v>0.00271964231282738</v>
      </c>
      <c r="I247" s="32" t="n">
        <f aca="false">MIN(10,ROUNDUP(F247*10,0))</f>
        <v>10</v>
      </c>
    </row>
    <row r="248" customFormat="false" ht="15.75" hidden="false" customHeight="true" outlineLevel="0" collapsed="false">
      <c r="A248" s="29" t="n">
        <v>800000</v>
      </c>
      <c r="B248" s="29" t="n">
        <v>695</v>
      </c>
      <c r="C248" s="29" t="n">
        <f aca="false">A248*B248</f>
        <v>556000000</v>
      </c>
      <c r="D248" s="29" t="n">
        <f aca="false">SUM($B$3:B248)</f>
        <v>374855</v>
      </c>
      <c r="E248" s="29" t="n">
        <f aca="false">SUM($C$3:C248)</f>
        <v>112386698796.83</v>
      </c>
      <c r="F248" s="30" t="n">
        <f aca="false">D248/$D$266</f>
        <v>0.954701623111188</v>
      </c>
      <c r="G248" s="30" t="n">
        <f aca="false">E248/$E$266</f>
        <v>0.849546952082255</v>
      </c>
      <c r="H248" s="31" t="n">
        <f aca="false">(F248-F247)*(G248+G247)</f>
        <v>0.0030000668803295</v>
      </c>
      <c r="I248" s="32" t="n">
        <f aca="false">MIN(10,ROUNDUP(F248*10,0))</f>
        <v>10</v>
      </c>
    </row>
    <row r="249" customFormat="false" ht="15.75" hidden="false" customHeight="true" outlineLevel="0" collapsed="false">
      <c r="A249" s="29" t="n">
        <v>860000</v>
      </c>
      <c r="B249" s="29" t="n">
        <v>1611</v>
      </c>
      <c r="C249" s="29" t="n">
        <f aca="false">A249*B249</f>
        <v>1385460000</v>
      </c>
      <c r="D249" s="29" t="n">
        <f aca="false">SUM($B$3:B249)</f>
        <v>376466</v>
      </c>
      <c r="E249" s="29" t="n">
        <f aca="false">SUM($C$3:C249)</f>
        <v>113772158796.83</v>
      </c>
      <c r="F249" s="30" t="n">
        <f aca="false">D249/$D$266</f>
        <v>0.958804607771476</v>
      </c>
      <c r="G249" s="30" t="n">
        <f aca="false">E249/$E$266</f>
        <v>0.860019840180513</v>
      </c>
      <c r="H249" s="31" t="n">
        <f aca="false">(F249-F248)*(G249+G248)</f>
        <v>0.00701432632439118</v>
      </c>
      <c r="I249" s="32" t="n">
        <f aca="false">MIN(10,ROUNDUP(F249*10,0))</f>
        <v>10</v>
      </c>
    </row>
    <row r="250" customFormat="false" ht="15.75" hidden="false" customHeight="true" outlineLevel="0" collapsed="false">
      <c r="A250" s="29" t="n">
        <v>875000</v>
      </c>
      <c r="B250" s="29" t="n">
        <v>1196</v>
      </c>
      <c r="C250" s="29" t="n">
        <f aca="false">A250*B250</f>
        <v>1046500000</v>
      </c>
      <c r="D250" s="29" t="n">
        <f aca="false">SUM($B$3:B250)</f>
        <v>377662</v>
      </c>
      <c r="E250" s="29" t="n">
        <f aca="false">SUM($C$3:C250)</f>
        <v>114818658796.83</v>
      </c>
      <c r="F250" s="30" t="n">
        <f aca="false">D250/$D$266</f>
        <v>0.961850647283396</v>
      </c>
      <c r="G250" s="30" t="n">
        <f aca="false">E250/$E$266</f>
        <v>0.867930481696564</v>
      </c>
      <c r="H250" s="31" t="n">
        <f aca="false">(F250-F249)*(G250+G249)</f>
        <v>0.00526340495507353</v>
      </c>
      <c r="I250" s="32" t="n">
        <f aca="false">MIN(10,ROUNDUP(F250*10,0))</f>
        <v>10</v>
      </c>
    </row>
    <row r="251" customFormat="false" ht="15.75" hidden="false" customHeight="true" outlineLevel="0" collapsed="false">
      <c r="A251" s="29" t="n">
        <v>887500</v>
      </c>
      <c r="B251" s="29" t="n">
        <v>1476</v>
      </c>
      <c r="C251" s="29" t="n">
        <f aca="false">A251*B251</f>
        <v>1309950000</v>
      </c>
      <c r="D251" s="29" t="n">
        <f aca="false">SUM($B$3:B251)</f>
        <v>379138</v>
      </c>
      <c r="E251" s="29" t="n">
        <f aca="false">SUM($C$3:C251)</f>
        <v>116128608796.83</v>
      </c>
      <c r="F251" s="30" t="n">
        <f aca="false">D251/$D$266</f>
        <v>0.965609806413492</v>
      </c>
      <c r="G251" s="30" t="n">
        <f aca="false">E251/$E$266</f>
        <v>0.877832579024753</v>
      </c>
      <c r="H251" s="31" t="n">
        <f aca="false">(F251-F250)*(G251+G250)</f>
        <v>0.00656260114869478</v>
      </c>
      <c r="I251" s="32" t="n">
        <f aca="false">MIN(10,ROUNDUP(F251*10,0))</f>
        <v>10</v>
      </c>
    </row>
    <row r="252" customFormat="false" ht="15.75" hidden="false" customHeight="true" outlineLevel="0" collapsed="false">
      <c r="A252" s="29" t="n">
        <v>890000</v>
      </c>
      <c r="B252" s="29" t="n">
        <v>355</v>
      </c>
      <c r="C252" s="29" t="n">
        <f aca="false">A252*B252</f>
        <v>315950000</v>
      </c>
      <c r="D252" s="29" t="n">
        <f aca="false">SUM($B$3:B252)</f>
        <v>379493</v>
      </c>
      <c r="E252" s="29" t="n">
        <f aca="false">SUM($C$3:C252)</f>
        <v>116444558796.83</v>
      </c>
      <c r="F252" s="30" t="n">
        <f aca="false">D252/$D$266</f>
        <v>0.966513940215107</v>
      </c>
      <c r="G252" s="30" t="n">
        <f aca="false">E252/$E$266</f>
        <v>0.880220889762447</v>
      </c>
      <c r="H252" s="31" t="n">
        <f aca="false">(F252-F251)*(G252+G251)</f>
        <v>0.00158951556617725</v>
      </c>
      <c r="I252" s="32" t="n">
        <f aca="false">MIN(10,ROUNDUP(F252*10,0))</f>
        <v>10</v>
      </c>
    </row>
    <row r="253" customFormat="false" ht="15.75" hidden="false" customHeight="true" outlineLevel="0" collapsed="false">
      <c r="A253" s="29" t="n">
        <v>900000</v>
      </c>
      <c r="B253" s="29" t="n">
        <v>1418</v>
      </c>
      <c r="C253" s="29" t="n">
        <f aca="false">A253*B253</f>
        <v>1276200000</v>
      </c>
      <c r="D253" s="29" t="n">
        <f aca="false">SUM($B$3:B253)</f>
        <v>380911</v>
      </c>
      <c r="E253" s="29" t="n">
        <f aca="false">SUM($C$3:C253)</f>
        <v>117720758796.83</v>
      </c>
      <c r="F253" s="30" t="n">
        <f aca="false">D253/$D$266</f>
        <v>0.97012538171001</v>
      </c>
      <c r="G253" s="30" t="n">
        <f aca="false">E253/$E$266</f>
        <v>0.889867866067066</v>
      </c>
      <c r="H253" s="31" t="n">
        <f aca="false">(F253-F252)*(G253+G252)</f>
        <v>0.00639257198246314</v>
      </c>
      <c r="I253" s="32" t="n">
        <f aca="false">MIN(10,ROUNDUP(F253*10,0))</f>
        <v>10</v>
      </c>
    </row>
    <row r="254" customFormat="false" ht="15.75" hidden="false" customHeight="true" outlineLevel="0" collapsed="false">
      <c r="A254" s="29" t="n">
        <v>950000</v>
      </c>
      <c r="B254" s="29" t="n">
        <v>1123</v>
      </c>
      <c r="C254" s="29" t="n">
        <f aca="false">A254*B254</f>
        <v>1066850000</v>
      </c>
      <c r="D254" s="29" t="n">
        <f aca="false">SUM($B$3:B254)</f>
        <v>382034</v>
      </c>
      <c r="E254" s="29" t="n">
        <f aca="false">SUM($C$3:C254)</f>
        <v>118787608796.83</v>
      </c>
      <c r="F254" s="30" t="n">
        <f aca="false">D254/$D$266</f>
        <v>0.972985500750049</v>
      </c>
      <c r="G254" s="30" t="n">
        <f aca="false">E254/$E$266</f>
        <v>0.897932336111403</v>
      </c>
      <c r="H254" s="31" t="n">
        <f aca="false">(F254-F253)*(G254+G253)</f>
        <v>0.00511332139803645</v>
      </c>
      <c r="I254" s="32" t="n">
        <f aca="false">MIN(10,ROUNDUP(F254*10,0))</f>
        <v>10</v>
      </c>
    </row>
    <row r="255" customFormat="false" ht="15.75" hidden="false" customHeight="true" outlineLevel="0" collapsed="false">
      <c r="A255" s="29" t="n">
        <v>952500</v>
      </c>
      <c r="B255" s="29" t="n">
        <v>570</v>
      </c>
      <c r="C255" s="29" t="n">
        <f aca="false">A255*B255</f>
        <v>542925000</v>
      </c>
      <c r="D255" s="29" t="n">
        <f aca="false">SUM($B$3:B255)</f>
        <v>382604</v>
      </c>
      <c r="E255" s="29" t="n">
        <f aca="false">SUM($C$3:C255)</f>
        <v>119330533796.83</v>
      </c>
      <c r="F255" s="30" t="n">
        <f aca="false">D255/$D$266</f>
        <v>0.974437208544192</v>
      </c>
      <c r="G255" s="30" t="n">
        <f aca="false">E255/$E$266</f>
        <v>0.902036382977243</v>
      </c>
      <c r="H255" s="31" t="n">
        <f aca="false">(F255-F254)*(G255+G254)</f>
        <v>0.00261302861871408</v>
      </c>
      <c r="I255" s="32" t="n">
        <f aca="false">MIN(10,ROUNDUP(F255*10,0))</f>
        <v>10</v>
      </c>
    </row>
    <row r="256" customFormat="false" ht="15.75" hidden="false" customHeight="true" outlineLevel="0" collapsed="false">
      <c r="A256" s="29" t="n">
        <v>980000</v>
      </c>
      <c r="B256" s="29" t="n">
        <v>413</v>
      </c>
      <c r="C256" s="29" t="n">
        <f aca="false">A256*B256</f>
        <v>404740000</v>
      </c>
      <c r="D256" s="29" t="n">
        <f aca="false">SUM($B$3:B256)</f>
        <v>383017</v>
      </c>
      <c r="E256" s="29" t="n">
        <f aca="false">SUM($C$3:C256)</f>
        <v>119735273796.83</v>
      </c>
      <c r="F256" s="30" t="n">
        <f aca="false">D256/$D$266</f>
        <v>0.975489059981</v>
      </c>
      <c r="G256" s="30" t="n">
        <f aca="false">E256/$E$266</f>
        <v>0.905095869883317</v>
      </c>
      <c r="H256" s="31" t="n">
        <f aca="false">(F256-F255)*(G256+G255)</f>
        <v>0.00190083465667461</v>
      </c>
      <c r="I256" s="32" t="n">
        <f aca="false">MIN(10,ROUNDUP(F256*10,0))</f>
        <v>10</v>
      </c>
    </row>
    <row r="257" customFormat="false" ht="15.75" hidden="false" customHeight="true" outlineLevel="0" collapsed="false">
      <c r="A257" s="29" t="n">
        <v>990000</v>
      </c>
      <c r="B257" s="29" t="n">
        <v>341</v>
      </c>
      <c r="C257" s="29" t="n">
        <f aca="false">A257*B257</f>
        <v>337590000</v>
      </c>
      <c r="D257" s="29" t="n">
        <f aca="false">SUM($B$3:B257)</f>
        <v>383358</v>
      </c>
      <c r="E257" s="29" t="n">
        <f aca="false">SUM($C$3:C257)</f>
        <v>120072863796.83</v>
      </c>
      <c r="F257" s="30" t="n">
        <f aca="false">D257/$D$266</f>
        <v>0.976357537801707</v>
      </c>
      <c r="G257" s="30" t="n">
        <f aca="false">E257/$E$266</f>
        <v>0.907647760441753</v>
      </c>
      <c r="H257" s="31" t="n">
        <f aca="false">(F257-F256)*(G257+G256)</f>
        <v>0.00157432763756417</v>
      </c>
      <c r="I257" s="32" t="n">
        <f aca="false">MIN(10,ROUNDUP(F257*10,0))</f>
        <v>10</v>
      </c>
    </row>
    <row r="258" customFormat="false" ht="15.75" hidden="false" customHeight="true" outlineLevel="0" collapsed="false">
      <c r="A258" s="29" t="n">
        <v>1000000</v>
      </c>
      <c r="B258" s="29" t="n">
        <v>1224</v>
      </c>
      <c r="C258" s="29" t="n">
        <f aca="false">A258*B258</f>
        <v>1224000000</v>
      </c>
      <c r="D258" s="29" t="n">
        <f aca="false">SUM($B$3:B258)</f>
        <v>384582</v>
      </c>
      <c r="E258" s="29" t="n">
        <f aca="false">SUM($C$3:C258)</f>
        <v>121296863796.83</v>
      </c>
      <c r="F258" s="30" t="n">
        <f aca="false">D258/$D$266</f>
        <v>0.979474889275445</v>
      </c>
      <c r="G258" s="30" t="n">
        <f aca="false">E258/$E$266</f>
        <v>0.91690014956325</v>
      </c>
      <c r="H258" s="31" t="n">
        <f aca="false">(F258-F257)*(G258+G257)</f>
        <v>0.00568775711615996</v>
      </c>
      <c r="I258" s="32" t="n">
        <f aca="false">MIN(10,ROUNDUP(F258*10,0))</f>
        <v>10</v>
      </c>
    </row>
    <row r="259" customFormat="false" ht="15.75" hidden="false" customHeight="true" outlineLevel="0" collapsed="false">
      <c r="A259" s="29" t="n">
        <v>1100000</v>
      </c>
      <c r="B259" s="29" t="n">
        <v>568</v>
      </c>
      <c r="C259" s="29" t="n">
        <f aca="false">A259*B259</f>
        <v>624800000</v>
      </c>
      <c r="D259" s="29" t="n">
        <f aca="false">SUM($B$3:B259)</f>
        <v>385150</v>
      </c>
      <c r="E259" s="29" t="n">
        <f aca="false">SUM($C$3:C259)</f>
        <v>121921663796.83</v>
      </c>
      <c r="F259" s="30" t="n">
        <f aca="false">D259/$D$266</f>
        <v>0.980921503358029</v>
      </c>
      <c r="G259" s="30" t="n">
        <f aca="false">E259/$E$266</f>
        <v>0.921623101134419</v>
      </c>
      <c r="H259" s="31" t="n">
        <f aca="false">(F259-F258)*(G259+G258)</f>
        <v>0.00265963362561789</v>
      </c>
      <c r="I259" s="32" t="n">
        <f aca="false">MIN(10,ROUNDUP(F259*10,0))</f>
        <v>10</v>
      </c>
    </row>
    <row r="260" customFormat="false" ht="15.75" hidden="false" customHeight="true" outlineLevel="0" collapsed="false">
      <c r="A260" s="29" t="n">
        <v>1133333.33</v>
      </c>
      <c r="B260" s="29" t="n">
        <v>1332</v>
      </c>
      <c r="C260" s="29" t="n">
        <f aca="false">A260*B260</f>
        <v>1509599995.56</v>
      </c>
      <c r="D260" s="29" t="n">
        <f aca="false">SUM($B$3:B260)</f>
        <v>386482</v>
      </c>
      <c r="E260" s="29" t="n">
        <f aca="false">SUM($C$3:C260)</f>
        <v>123431263792.39</v>
      </c>
      <c r="F260" s="30" t="n">
        <f aca="false">D260/$D$266</f>
        <v>0.984313915255921</v>
      </c>
      <c r="G260" s="30" t="n">
        <f aca="false">E260/$E$266</f>
        <v>0.933034381017368</v>
      </c>
      <c r="H260" s="31" t="n">
        <f aca="false">(F260-F259)*(G260+G259)</f>
        <v>0.00629176210896526</v>
      </c>
      <c r="I260" s="32" t="n">
        <f aca="false">MIN(10,ROUNDUP(F260*10,0))</f>
        <v>10</v>
      </c>
    </row>
    <row r="261" customFormat="false" ht="15.75" hidden="false" customHeight="true" outlineLevel="0" collapsed="false">
      <c r="A261" s="29" t="n">
        <v>1140000</v>
      </c>
      <c r="B261" s="29" t="n">
        <v>282</v>
      </c>
      <c r="C261" s="29" t="n">
        <f aca="false">A261*B261</f>
        <v>321480000</v>
      </c>
      <c r="D261" s="29" t="n">
        <f aca="false">SUM($B$3:B261)</f>
        <v>386764</v>
      </c>
      <c r="E261" s="29" t="n">
        <f aca="false">SUM($C$3:C261)</f>
        <v>123752743792.39</v>
      </c>
      <c r="F261" s="30" t="n">
        <f aca="false">D261/$D$266</f>
        <v>0.985032128585655</v>
      </c>
      <c r="G261" s="30" t="n">
        <f aca="false">E261/$E$266</f>
        <v>0.93546449380722</v>
      </c>
      <c r="H261" s="31" t="n">
        <f aca="false">(F261-F260)*(G261+G260)</f>
        <v>0.00134198079849156</v>
      </c>
      <c r="I261" s="32" t="n">
        <f aca="false">MIN(10,ROUNDUP(F261*10,0))</f>
        <v>10</v>
      </c>
    </row>
    <row r="262" customFormat="false" ht="15.75" hidden="false" customHeight="true" outlineLevel="0" collapsed="false">
      <c r="A262" s="29" t="n">
        <v>1187500</v>
      </c>
      <c r="B262" s="29" t="n">
        <v>2080</v>
      </c>
      <c r="C262" s="29" t="n">
        <f aca="false">A262*B262</f>
        <v>2470000000</v>
      </c>
      <c r="D262" s="29" t="n">
        <f aca="false">SUM($B$3:B262)</f>
        <v>388844</v>
      </c>
      <c r="E262" s="29" t="n">
        <f aca="false">SUM($C$3:C262)</f>
        <v>126222743792.39</v>
      </c>
      <c r="F262" s="30" t="n">
        <f aca="false">D262/$D$266</f>
        <v>0.990329588606386</v>
      </c>
      <c r="G262" s="30" t="n">
        <f aca="false">E262/$E$266</f>
        <v>0.954135573161874</v>
      </c>
      <c r="H262" s="31" t="n">
        <f aca="false">(F262-F261)*(G262+G261)</f>
        <v>0.0100100808099401</v>
      </c>
      <c r="I262" s="32" t="n">
        <f aca="false">MIN(10,ROUNDUP(F262*10,0))</f>
        <v>10</v>
      </c>
    </row>
    <row r="263" customFormat="false" ht="15.75" hidden="false" customHeight="true" outlineLevel="0" collapsed="false">
      <c r="A263" s="29" t="n">
        <v>1190000</v>
      </c>
      <c r="B263" s="29" t="n">
        <v>401</v>
      </c>
      <c r="C263" s="29" t="n">
        <f aca="false">A263*B263</f>
        <v>477190000</v>
      </c>
      <c r="D263" s="29" t="n">
        <f aca="false">SUM($B$3:B263)</f>
        <v>389245</v>
      </c>
      <c r="E263" s="29" t="n">
        <f aca="false">SUM($C$3:C263)</f>
        <v>126699933792.39</v>
      </c>
      <c r="F263" s="30" t="n">
        <f aca="false">D263/$D$266</f>
        <v>0.991350877773844</v>
      </c>
      <c r="G263" s="30" t="n">
        <f aca="false">E263/$E$266</f>
        <v>0.957742719865213</v>
      </c>
      <c r="H263" s="31" t="n">
        <f aca="false">(F263-F262)*(G263+G262)</f>
        <v>0.00195258059016735</v>
      </c>
      <c r="I263" s="32" t="n">
        <f aca="false">MIN(10,ROUNDUP(F263*10,0))</f>
        <v>10</v>
      </c>
    </row>
    <row r="264" customFormat="false" ht="15.75" hidden="false" customHeight="true" outlineLevel="0" collapsed="false">
      <c r="A264" s="29" t="n">
        <v>1300000</v>
      </c>
      <c r="B264" s="29" t="n">
        <v>462</v>
      </c>
      <c r="C264" s="29" t="n">
        <f aca="false">A264*B264</f>
        <v>600600000</v>
      </c>
      <c r="D264" s="29" t="n">
        <f aca="false">SUM($B$3:B264)</f>
        <v>389707</v>
      </c>
      <c r="E264" s="29" t="n">
        <f aca="false">SUM($C$3:C264)</f>
        <v>127300533792.39</v>
      </c>
      <c r="F264" s="30" t="n">
        <f aca="false">D264/$D$266</f>
        <v>0.992527525143834</v>
      </c>
      <c r="G264" s="30" t="n">
        <f aca="false">E264/$E$266</f>
        <v>0.962282740213555</v>
      </c>
      <c r="H264" s="31" t="n">
        <f aca="false">(F264-F263)*(G264+G263)</f>
        <v>0.00225919290791427</v>
      </c>
      <c r="I264" s="32" t="n">
        <f aca="false">MIN(10,ROUNDUP(F264*10,0))</f>
        <v>10</v>
      </c>
    </row>
    <row r="265" customFormat="false" ht="15.75" hidden="false" customHeight="true" outlineLevel="0" collapsed="false">
      <c r="A265" s="29" t="n">
        <v>1400000</v>
      </c>
      <c r="B265" s="29" t="n">
        <v>1958</v>
      </c>
      <c r="C265" s="29" t="n">
        <f aca="false">A265*B265</f>
        <v>2741200000</v>
      </c>
      <c r="D265" s="29" t="n">
        <f aca="false">SUM($B$3:B265)</f>
        <v>391665</v>
      </c>
      <c r="E265" s="29" t="n">
        <f aca="false">SUM($C$3:C265)</f>
        <v>130041733792.39</v>
      </c>
      <c r="F265" s="30" t="n">
        <f aca="false">D265/$D$266</f>
        <v>0.997514268759503</v>
      </c>
      <c r="G265" s="30" t="n">
        <f aca="false">E265/$E$266</f>
        <v>0.983003858726501</v>
      </c>
      <c r="H265" s="31" t="n">
        <f aca="false">(F265-F264)*(G265+G264)</f>
        <v>0.00970064552791139</v>
      </c>
      <c r="I265" s="32" t="n">
        <f aca="false">MIN(10,ROUNDUP(F265*10,0))</f>
        <v>10</v>
      </c>
    </row>
    <row r="266" customFormat="false" ht="15.75" hidden="false" customHeight="true" outlineLevel="0" collapsed="false">
      <c r="A266" s="29" t="n">
        <v>2303711.25</v>
      </c>
      <c r="B266" s="29" t="n">
        <v>976</v>
      </c>
      <c r="C266" s="29" t="n">
        <f aca="false">A266*B266</f>
        <v>2248422180</v>
      </c>
      <c r="D266" s="29" t="n">
        <f aca="false">SUM($B$3:B266)</f>
        <v>392641</v>
      </c>
      <c r="E266" s="29" t="n">
        <f aca="false">SUM($C$3:C266)</f>
        <v>132290155972.39</v>
      </c>
      <c r="F266" s="30" t="n">
        <f aca="false">D266/$D$266</f>
        <v>1</v>
      </c>
      <c r="G266" s="30" t="n">
        <f aca="false">E266/$E$266</f>
        <v>1</v>
      </c>
      <c r="H266" s="31" t="n">
        <f aca="false">(F266-F265)*(G266+G265)</f>
        <v>0.00492921464166257</v>
      </c>
      <c r="I266" s="32" t="n">
        <f aca="false">MIN(10,ROUNDUP(F266*10,0))</f>
        <v>10</v>
      </c>
    </row>
    <row r="267" customFormat="false" ht="15.75" hidden="false" customHeight="true" outlineLevel="0" collapsed="false"/>
    <row r="268" customFormat="false" ht="15.75" hidden="false" customHeight="true" outlineLevel="0" collapsed="false">
      <c r="A268" s="3" t="s">
        <v>71</v>
      </c>
      <c r="C268" s="31" t="n">
        <f aca="false">SUM(H3:H266)</f>
        <v>0.669429325713996</v>
      </c>
    </row>
    <row r="269" customFormat="false" ht="15.75" hidden="false" customHeight="true" outlineLevel="0" collapsed="false">
      <c r="A269" s="33" t="s">
        <v>72</v>
      </c>
      <c r="B269" s="34"/>
      <c r="C269" s="35" t="n">
        <f aca="false">1-C268</f>
        <v>0.330570674286004</v>
      </c>
    </row>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true" showErrorMessage="false" showInputMessage="false" sqref="A2:I266" type="custom">
      <formula1>AND(ISNUMBER(A2),(NOT(OR(NOT(ISERROR(DATEVALUE(A2))), AND(ISNUMBER(A2), LEFT(CELL("format", A2))="D")))))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0" width="14.29"/>
    <col collapsed="false" customWidth="true" hidden="false" outlineLevel="0" max="2" min="2" style="0" width="17.43"/>
    <col collapsed="false" customWidth="true" hidden="false" outlineLevel="0" max="3" min="3" style="0" width="21.43"/>
    <col collapsed="false" customWidth="true" hidden="false" outlineLevel="0" max="4" min="4" style="0" width="19.14"/>
    <col collapsed="false" customWidth="true" hidden="false" outlineLevel="0" max="5" min="5" style="0" width="18.86"/>
    <col collapsed="false" customWidth="true" hidden="false" outlineLevel="0" max="7" min="6" style="0" width="19.14"/>
    <col collapsed="false" customWidth="true" hidden="false" outlineLevel="0" max="8" min="8" style="0" width="19.57"/>
    <col collapsed="false" customWidth="true" hidden="false" outlineLevel="0" max="9" min="9" style="0" width="19.43"/>
    <col collapsed="false" customWidth="true" hidden="false" outlineLevel="0" max="26" min="10" style="0" width="8.71"/>
  </cols>
  <sheetData>
    <row r="1" customFormat="false" ht="31.5" hidden="false" customHeight="true" outlineLevel="0" collapsed="false">
      <c r="A1" s="28" t="s">
        <v>2</v>
      </c>
      <c r="B1" s="28" t="s">
        <v>63</v>
      </c>
      <c r="C1" s="28" t="s">
        <v>64</v>
      </c>
      <c r="D1" s="28" t="s">
        <v>65</v>
      </c>
      <c r="E1" s="28" t="s">
        <v>66</v>
      </c>
      <c r="F1" s="28" t="s">
        <v>67</v>
      </c>
      <c r="G1" s="28" t="s">
        <v>68</v>
      </c>
      <c r="H1" s="28" t="s">
        <v>69</v>
      </c>
      <c r="I1" s="28" t="s">
        <v>70</v>
      </c>
    </row>
    <row r="2" customFormat="false" ht="22.5" hidden="false" customHeight="true" outlineLevel="0" collapsed="false">
      <c r="A2" s="29" t="n">
        <v>0</v>
      </c>
      <c r="B2" s="29" t="n">
        <v>0</v>
      </c>
      <c r="C2" s="29" t="n">
        <v>0</v>
      </c>
      <c r="D2" s="29" t="n">
        <v>0</v>
      </c>
      <c r="E2" s="29" t="n">
        <v>0</v>
      </c>
      <c r="F2" s="30" t="n">
        <v>0</v>
      </c>
      <c r="G2" s="30" t="n">
        <v>0</v>
      </c>
      <c r="H2" s="31" t="n">
        <v>0</v>
      </c>
      <c r="I2" s="32" t="n">
        <v>0</v>
      </c>
    </row>
    <row r="3" customFormat="false" ht="22.5" hidden="false" customHeight="true" outlineLevel="0" collapsed="false">
      <c r="A3" s="29" t="n">
        <v>26000</v>
      </c>
      <c r="B3" s="29" t="n">
        <v>1296</v>
      </c>
      <c r="C3" s="29" t="n">
        <f aca="false">A3*B3</f>
        <v>33696000</v>
      </c>
      <c r="D3" s="29" t="n">
        <f aca="false">SUM($B$3:B3)</f>
        <v>1296</v>
      </c>
      <c r="E3" s="29" t="n">
        <f aca="false">SUM($C$3:C3)</f>
        <v>33696000</v>
      </c>
      <c r="F3" s="30" t="n">
        <f aca="false">D3/$D$222</f>
        <v>0.00327779295274515</v>
      </c>
      <c r="G3" s="30" t="n">
        <f aca="false">E3/$E$222</f>
        <v>0.000192559414615052</v>
      </c>
      <c r="H3" s="31" t="n">
        <f aca="false">(F3-F2)*(G3+G2)</f>
        <v>6.31169892209948E-007</v>
      </c>
      <c r="I3" s="32" t="n">
        <f aca="false">MIN(10,ROUNDUP(F3*10,0))</f>
        <v>1</v>
      </c>
    </row>
    <row r="4" customFormat="false" ht="22.5" hidden="false" customHeight="true" outlineLevel="0" collapsed="false">
      <c r="A4" s="29" t="n">
        <v>46000</v>
      </c>
      <c r="B4" s="29" t="n">
        <v>1359</v>
      </c>
      <c r="C4" s="29" t="n">
        <f aca="false">A4*B4</f>
        <v>62514000</v>
      </c>
      <c r="D4" s="29" t="n">
        <f aca="false">SUM($B$3:B4)</f>
        <v>2655</v>
      </c>
      <c r="E4" s="29" t="n">
        <f aca="false">SUM($C$3:C4)</f>
        <v>96210000</v>
      </c>
      <c r="F4" s="30" t="n">
        <f aca="false">D4/$D$222</f>
        <v>0.00671492306291541</v>
      </c>
      <c r="G4" s="30" t="n">
        <f aca="false">E4/$E$222</f>
        <v>0.000549802388417442</v>
      </c>
      <c r="H4" s="31" t="n">
        <f aca="false">(F4-F3)*(G4+G3)</f>
        <v>2.55159410584327E-006</v>
      </c>
      <c r="I4" s="32" t="n">
        <f aca="false">MIN(10,ROUNDUP(F4*10,0))</f>
        <v>1</v>
      </c>
    </row>
    <row r="5" customFormat="false" ht="22.5" hidden="false" customHeight="true" outlineLevel="0" collapsed="false">
      <c r="A5" s="29" t="n">
        <v>73018</v>
      </c>
      <c r="B5" s="29" t="n">
        <v>326</v>
      </c>
      <c r="C5" s="29" t="n">
        <f aca="false">A5*B5</f>
        <v>23803868</v>
      </c>
      <c r="D5" s="29" t="n">
        <f aca="false">SUM($B$3:B5)</f>
        <v>2981</v>
      </c>
      <c r="E5" s="29" t="n">
        <f aca="false">SUM($C$3:C5)</f>
        <v>120013868</v>
      </c>
      <c r="F5" s="30" t="n">
        <f aca="false">D5/$D$222</f>
        <v>0.00753942962355964</v>
      </c>
      <c r="G5" s="30" t="n">
        <f aca="false">E5/$E$222</f>
        <v>0.000685832151227685</v>
      </c>
      <c r="H5" s="31" t="n">
        <f aca="false">(F5-F4)*(G5+G4)</f>
        <v>1.01878878449602E-006</v>
      </c>
      <c r="I5" s="32" t="n">
        <f aca="false">MIN(10,ROUNDUP(F5*10,0))</f>
        <v>1</v>
      </c>
    </row>
    <row r="6" customFormat="false" ht="22.5" hidden="false" customHeight="true" outlineLevel="0" collapsed="false">
      <c r="A6" s="29" t="n">
        <v>76226.29</v>
      </c>
      <c r="B6" s="29" t="n">
        <v>2576</v>
      </c>
      <c r="C6" s="29" t="n">
        <f aca="false">A6*B6</f>
        <v>196358923.04</v>
      </c>
      <c r="D6" s="29" t="n">
        <f aca="false">SUM($B$3:B6)</f>
        <v>5557</v>
      </c>
      <c r="E6" s="29" t="n">
        <f aca="false">SUM($C$3:C6)</f>
        <v>316372791.04</v>
      </c>
      <c r="F6" s="30" t="n">
        <f aca="false">D6/$D$222</f>
        <v>0.0140545489493864</v>
      </c>
      <c r="G6" s="30" t="n">
        <f aca="false">E6/$E$222</f>
        <v>0.00180794632724337</v>
      </c>
      <c r="H6" s="31" t="n">
        <f aca="false">(F6-F5)*(G6+G5)</f>
        <v>1.62472643594176E-005</v>
      </c>
      <c r="I6" s="32" t="n">
        <f aca="false">MIN(10,ROUNDUP(F6*10,0))</f>
        <v>1</v>
      </c>
    </row>
    <row r="7" customFormat="false" ht="22.5" hidden="false" customHeight="true" outlineLevel="0" collapsed="false">
      <c r="A7" s="29" t="n">
        <v>91053.67</v>
      </c>
      <c r="B7" s="29" t="n">
        <v>1884</v>
      </c>
      <c r="C7" s="29" t="n">
        <f aca="false">A7*B7</f>
        <v>171545114.28</v>
      </c>
      <c r="D7" s="29" t="n">
        <f aca="false">SUM($B$3:B7)</f>
        <v>7441</v>
      </c>
      <c r="E7" s="29" t="n">
        <f aca="false">SUM($C$3:C7)</f>
        <v>487917905.32</v>
      </c>
      <c r="F7" s="30" t="n">
        <f aca="false">D7/$D$222</f>
        <v>0.018819488704766</v>
      </c>
      <c r="G7" s="30" t="n">
        <f aca="false">E7/$E$222</f>
        <v>0.00278825932539831</v>
      </c>
      <c r="H7" s="31" t="n">
        <f aca="false">(F7-F6)*(G7+G6)</f>
        <v>2.19006430381724E-005</v>
      </c>
      <c r="I7" s="32" t="n">
        <f aca="false">MIN(10,ROUNDUP(F7*10,0))</f>
        <v>1</v>
      </c>
    </row>
    <row r="8" customFormat="false" ht="22.5" hidden="false" customHeight="true" outlineLevel="0" collapsed="false">
      <c r="A8" s="29" t="n">
        <v>91516.5</v>
      </c>
      <c r="B8" s="29" t="n">
        <v>1980</v>
      </c>
      <c r="C8" s="29" t="n">
        <f aca="false">A8*B8</f>
        <v>181202670</v>
      </c>
      <c r="D8" s="29" t="n">
        <f aca="false">SUM($B$3:B8)</f>
        <v>9421</v>
      </c>
      <c r="E8" s="29" t="n">
        <f aca="false">SUM($C$3:C8)</f>
        <v>669120575.32</v>
      </c>
      <c r="F8" s="30" t="n">
        <f aca="false">D8/$D$222</f>
        <v>0.0238272279381266</v>
      </c>
      <c r="G8" s="30" t="n">
        <f aca="false">E8/$E$222</f>
        <v>0.00382376146398699</v>
      </c>
      <c r="H8" s="31" t="n">
        <f aca="false">(F8-F7)*(G8+G7)</f>
        <v>3.3111275918801E-005</v>
      </c>
      <c r="I8" s="32" t="n">
        <f aca="false">MIN(10,ROUNDUP(F8*10,0))</f>
        <v>1</v>
      </c>
    </row>
    <row r="9" customFormat="false" ht="22.5" hidden="false" customHeight="true" outlineLevel="0" collapsed="false">
      <c r="A9" s="29" t="n">
        <v>92800</v>
      </c>
      <c r="B9" s="29" t="n">
        <v>6605</v>
      </c>
      <c r="C9" s="29" t="n">
        <f aca="false">A9*B9</f>
        <v>612944000</v>
      </c>
      <c r="D9" s="29" t="n">
        <f aca="false">SUM($B$3:B9)</f>
        <v>16026</v>
      </c>
      <c r="E9" s="29" t="n">
        <f aca="false">SUM($C$3:C9)</f>
        <v>1282064575.32</v>
      </c>
      <c r="F9" s="30" t="n">
        <f aca="false">D9/$D$222</f>
        <v>0.0405323378554736</v>
      </c>
      <c r="G9" s="30" t="n">
        <f aca="false">E9/$E$222</f>
        <v>0.0073264958488341</v>
      </c>
      <c r="H9" s="31" t="n">
        <f aca="false">(F9-F8)*(G9+G8)</f>
        <v>0.000186266274017379</v>
      </c>
      <c r="I9" s="32" t="n">
        <f aca="false">MIN(10,ROUNDUP(F9*10,0))</f>
        <v>1</v>
      </c>
    </row>
    <row r="10" customFormat="false" ht="22.5" hidden="false" customHeight="true" outlineLevel="0" collapsed="false">
      <c r="A10" s="29" t="n">
        <v>101064</v>
      </c>
      <c r="B10" s="29" t="n">
        <v>3176</v>
      </c>
      <c r="C10" s="29" t="n">
        <f aca="false">A10*B10</f>
        <v>320979264</v>
      </c>
      <c r="D10" s="29" t="n">
        <f aca="false">SUM($B$3:B10)</f>
        <v>19202</v>
      </c>
      <c r="E10" s="29" t="n">
        <f aca="false">SUM($C$3:C10)</f>
        <v>1603043839.32</v>
      </c>
      <c r="F10" s="30" t="n">
        <f aca="false">D10/$D$222</f>
        <v>0.0485649539186824</v>
      </c>
      <c r="G10" s="30" t="n">
        <f aca="false">E10/$E$222</f>
        <v>0.00916076636104357</v>
      </c>
      <c r="H10" s="31" t="n">
        <f aca="false">(F10-F9)*(G10+G9)</f>
        <v>0.000132435847265399</v>
      </c>
      <c r="I10" s="32" t="n">
        <f aca="false">MIN(10,ROUNDUP(F10*10,0))</f>
        <v>1</v>
      </c>
    </row>
    <row r="11" customFormat="false" ht="22.5" hidden="false" customHeight="true" outlineLevel="0" collapsed="false">
      <c r="A11" s="29" t="n">
        <v>105500</v>
      </c>
      <c r="B11" s="29" t="n">
        <v>2196</v>
      </c>
      <c r="C11" s="29" t="n">
        <f aca="false">A11*B11</f>
        <v>231678000</v>
      </c>
      <c r="D11" s="29" t="n">
        <f aca="false">SUM($B$3:B11)</f>
        <v>21398</v>
      </c>
      <c r="E11" s="29" t="n">
        <f aca="false">SUM($C$3:C11)</f>
        <v>1834721839.32</v>
      </c>
      <c r="F11" s="30" t="n">
        <f aca="false">D11/$D$222</f>
        <v>0.0541189919775006</v>
      </c>
      <c r="G11" s="30" t="n">
        <f aca="false">E11/$E$222</f>
        <v>0.0104847151994572</v>
      </c>
      <c r="H11" s="31" t="n">
        <f aca="false">(F11-F10)*(G11+G10)</f>
        <v>0.000109111752270832</v>
      </c>
      <c r="I11" s="32" t="n">
        <f aca="false">MIN(10,ROUNDUP(F11*10,0))</f>
        <v>1</v>
      </c>
    </row>
    <row r="12" customFormat="false" ht="22.5" hidden="false" customHeight="true" outlineLevel="0" collapsed="false">
      <c r="A12" s="29" t="n">
        <v>112500</v>
      </c>
      <c r="B12" s="29" t="n">
        <v>1876</v>
      </c>
      <c r="C12" s="29" t="n">
        <f aca="false">A12*B12</f>
        <v>211050000</v>
      </c>
      <c r="D12" s="29" t="n">
        <f aca="false">SUM($B$3:B12)</f>
        <v>23274</v>
      </c>
      <c r="E12" s="29" t="n">
        <f aca="false">SUM($C$3:C12)</f>
        <v>2045771839.32</v>
      </c>
      <c r="F12" s="30" t="n">
        <f aca="false">D12/$D$222</f>
        <v>0.0588636984430484</v>
      </c>
      <c r="G12" s="30" t="n">
        <f aca="false">E12/$E$222</f>
        <v>0.0116907831141802</v>
      </c>
      <c r="H12" s="31" t="n">
        <f aca="false">(F12-F11)*(G12+G11)</f>
        <v>0.000105216230225459</v>
      </c>
      <c r="I12" s="32" t="n">
        <f aca="false">MIN(10,ROUNDUP(F12*10,0))</f>
        <v>1</v>
      </c>
    </row>
    <row r="13" customFormat="false" ht="22.5" hidden="false" customHeight="true" outlineLevel="0" collapsed="false">
      <c r="A13" s="29" t="n">
        <v>115539.75</v>
      </c>
      <c r="B13" s="29" t="n">
        <v>2144</v>
      </c>
      <c r="C13" s="29" t="n">
        <f aca="false">A13*B13</f>
        <v>247717224</v>
      </c>
      <c r="D13" s="29" t="n">
        <f aca="false">SUM($B$3:B13)</f>
        <v>25418</v>
      </c>
      <c r="E13" s="29" t="n">
        <f aca="false">SUM($C$3:C13)</f>
        <v>2293489063.32</v>
      </c>
      <c r="F13" s="30" t="n">
        <f aca="false">D13/$D$222</f>
        <v>0.0642862201179601</v>
      </c>
      <c r="G13" s="30" t="n">
        <f aca="false">E13/$E$222</f>
        <v>0.0131063898224989</v>
      </c>
      <c r="H13" s="31" t="n">
        <f aca="false">(F13-F12)*(G13+G12)</f>
        <v>0.000134463207725677</v>
      </c>
      <c r="I13" s="32" t="n">
        <f aca="false">MIN(10,ROUNDUP(F13*10,0))</f>
        <v>1</v>
      </c>
    </row>
    <row r="14" customFormat="false" ht="22.5" hidden="false" customHeight="true" outlineLevel="0" collapsed="false">
      <c r="A14" s="29" t="n">
        <v>123250</v>
      </c>
      <c r="B14" s="29" t="n">
        <v>2012</v>
      </c>
      <c r="C14" s="29" t="n">
        <f aca="false">A14*B14</f>
        <v>247979000</v>
      </c>
      <c r="D14" s="29" t="n">
        <f aca="false">SUM($B$3:B14)</f>
        <v>27430</v>
      </c>
      <c r="E14" s="29" t="n">
        <f aca="false">SUM($C$3:C14)</f>
        <v>2541468063.32</v>
      </c>
      <c r="F14" s="30" t="n">
        <f aca="false">D14/$D$222</f>
        <v>0.0693748925106478</v>
      </c>
      <c r="G14" s="30" t="n">
        <f aca="false">E14/$E$222</f>
        <v>0.0145234924779128</v>
      </c>
      <c r="H14" s="31" t="n">
        <f aca="false">(F14-F13)*(G14+G13)</f>
        <v>0.000140599419275315</v>
      </c>
      <c r="I14" s="32" t="n">
        <f aca="false">MIN(10,ROUNDUP(F14*10,0))</f>
        <v>1</v>
      </c>
    </row>
    <row r="15" customFormat="false" ht="22.5" hidden="false" customHeight="true" outlineLevel="0" collapsed="false">
      <c r="A15" s="29" t="n">
        <v>139333.33</v>
      </c>
      <c r="B15" s="29" t="n">
        <v>921</v>
      </c>
      <c r="C15" s="29" t="n">
        <f aca="false">A15*B15</f>
        <v>128325996.93</v>
      </c>
      <c r="D15" s="29" t="n">
        <f aca="false">SUM($B$3:B15)</f>
        <v>28351</v>
      </c>
      <c r="E15" s="29" t="n">
        <f aca="false">SUM($C$3:C15)</f>
        <v>2669794060.25</v>
      </c>
      <c r="F15" s="30" t="n">
        <f aca="false">D15/$D$222</f>
        <v>0.0717042500025292</v>
      </c>
      <c r="G15" s="30" t="n">
        <f aca="false">E15/$E$222</f>
        <v>0.0152568251835376</v>
      </c>
      <c r="H15" s="31" t="n">
        <f aca="false">(F15-F14)*(G15+G14)</f>
        <v>6.93690060553069E-005</v>
      </c>
      <c r="I15" s="32" t="n">
        <f aca="false">MIN(10,ROUNDUP(F15*10,0))</f>
        <v>1</v>
      </c>
    </row>
    <row r="16" customFormat="false" ht="22.5" hidden="false" customHeight="true" outlineLevel="0" collapsed="false">
      <c r="A16" s="29" t="n">
        <v>140000</v>
      </c>
      <c r="B16" s="29" t="n">
        <v>1765</v>
      </c>
      <c r="C16" s="29" t="n">
        <f aca="false">A16*B16</f>
        <v>247100000</v>
      </c>
      <c r="D16" s="29" t="n">
        <f aca="false">SUM($B$3:B16)</f>
        <v>30116</v>
      </c>
      <c r="E16" s="29" t="n">
        <f aca="false">SUM($C$3:C16)</f>
        <v>2916894060.25</v>
      </c>
      <c r="F16" s="30" t="n">
        <f aca="false">D16/$D$222</f>
        <v>0.0761682195716613</v>
      </c>
      <c r="G16" s="30" t="n">
        <f aca="false">E16/$E$222</f>
        <v>0.0166689046989512</v>
      </c>
      <c r="H16" s="31" t="n">
        <f aca="false">(F16-F15)*(G16+G15)</f>
        <v>0.000142515486667761</v>
      </c>
      <c r="I16" s="32" t="n">
        <f aca="false">MIN(10,ROUNDUP(F16*10,0))</f>
        <v>1</v>
      </c>
    </row>
    <row r="17" customFormat="false" ht="22.5" hidden="false" customHeight="true" outlineLevel="0" collapsed="false">
      <c r="A17" s="29" t="n">
        <v>143627</v>
      </c>
      <c r="B17" s="29" t="n">
        <v>1416</v>
      </c>
      <c r="C17" s="29" t="n">
        <f aca="false">A17*B17</f>
        <v>203375832</v>
      </c>
      <c r="D17" s="29" t="n">
        <f aca="false">SUM($B$3:B17)</f>
        <v>31532</v>
      </c>
      <c r="E17" s="29" t="n">
        <f aca="false">SUM($C$3:C17)</f>
        <v>3120269892.25</v>
      </c>
      <c r="F17" s="30" t="n">
        <f aca="false">D17/$D$222</f>
        <v>0.0797495118718828</v>
      </c>
      <c r="G17" s="30" t="n">
        <f aca="false">E17/$E$222</f>
        <v>0.017831117755598</v>
      </c>
      <c r="H17" s="31" t="n">
        <f aca="false">(F17-F16)*(G17+G16)</f>
        <v>0.000123554664773948</v>
      </c>
      <c r="I17" s="32" t="n">
        <f aca="false">MIN(10,ROUNDUP(F17*10,0))</f>
        <v>1</v>
      </c>
    </row>
    <row r="18" customFormat="false" ht="22.5" hidden="false" customHeight="true" outlineLevel="0" collapsed="false">
      <c r="A18" s="29" t="n">
        <v>147500</v>
      </c>
      <c r="B18" s="29" t="n">
        <v>1312</v>
      </c>
      <c r="C18" s="29" t="n">
        <f aca="false">A18*B18</f>
        <v>193520000</v>
      </c>
      <c r="D18" s="29" t="n">
        <f aca="false">SUM($B$3:B18)</f>
        <v>32844</v>
      </c>
      <c r="E18" s="29" t="n">
        <f aca="false">SUM($C$3:C18)</f>
        <v>3313789892.25</v>
      </c>
      <c r="F18" s="30" t="n">
        <f aca="false">D18/$D$222</f>
        <v>0.0830677714042915</v>
      </c>
      <c r="G18" s="30" t="n">
        <f aca="false">E18/$E$222</f>
        <v>0.0189370086006925</v>
      </c>
      <c r="H18" s="31" t="n">
        <f aca="false">(F18-F17)*(G18+G17)</f>
        <v>0.000122006185770567</v>
      </c>
      <c r="I18" s="32" t="n">
        <f aca="false">MIN(10,ROUNDUP(F18*10,0))</f>
        <v>1</v>
      </c>
    </row>
    <row r="19" customFormat="false" ht="22.5" hidden="false" customHeight="true" outlineLevel="0" collapsed="false">
      <c r="A19" s="29" t="n">
        <v>148048</v>
      </c>
      <c r="B19" s="29" t="n">
        <v>928</v>
      </c>
      <c r="C19" s="29" t="n">
        <f aca="false">A19*B19</f>
        <v>137388544</v>
      </c>
      <c r="D19" s="29" t="n">
        <f aca="false">SUM($B$3:B19)</f>
        <v>33772</v>
      </c>
      <c r="E19" s="29" t="n">
        <f aca="false">SUM($C$3:C19)</f>
        <v>3451178436.25</v>
      </c>
      <c r="F19" s="30" t="n">
        <f aca="false">D19/$D$222</f>
        <v>0.0854148330247757</v>
      </c>
      <c r="G19" s="30" t="n">
        <f aca="false">E19/$E$222</f>
        <v>0.019722130205852</v>
      </c>
      <c r="H19" s="31" t="n">
        <f aca="false">(F19-F18)*(G19+G18)</f>
        <v>9.07353809738116E-005</v>
      </c>
      <c r="I19" s="32" t="n">
        <f aca="false">MIN(10,ROUNDUP(F19*10,0))</f>
        <v>1</v>
      </c>
    </row>
    <row r="20" customFormat="false" ht="22.5" hidden="false" customHeight="true" outlineLevel="0" collapsed="false">
      <c r="A20" s="29" t="n">
        <v>150000</v>
      </c>
      <c r="B20" s="29" t="n">
        <v>5691</v>
      </c>
      <c r="C20" s="29" t="n">
        <f aca="false">A20*B20</f>
        <v>853650000</v>
      </c>
      <c r="D20" s="29" t="n">
        <f aca="false">SUM($B$3:B20)</f>
        <v>39463</v>
      </c>
      <c r="E20" s="29" t="n">
        <f aca="false">SUM($C$3:C20)</f>
        <v>4304828436.25</v>
      </c>
      <c r="F20" s="30" t="n">
        <f aca="false">D20/$D$222</f>
        <v>0.0998082895788441</v>
      </c>
      <c r="G20" s="30" t="n">
        <f aca="false">E20/$E$222</f>
        <v>0.0246004049057018</v>
      </c>
      <c r="H20" s="31" t="n">
        <f aca="false">(F20-F19)*(G20+G19)</f>
        <v>0.000637954483494322</v>
      </c>
      <c r="I20" s="32" t="n">
        <f aca="false">MIN(10,ROUNDUP(F20*10,0))</f>
        <v>1</v>
      </c>
    </row>
    <row r="21" customFormat="false" ht="15.75" hidden="false" customHeight="true" outlineLevel="0" collapsed="false">
      <c r="A21" s="29" t="n">
        <v>150423.38</v>
      </c>
      <c r="B21" s="29" t="n">
        <v>2144</v>
      </c>
      <c r="C21" s="29" t="n">
        <f aca="false">A21*B21</f>
        <v>322507726.72</v>
      </c>
      <c r="D21" s="29" t="n">
        <f aca="false">SUM($B$3:B21)</f>
        <v>41607</v>
      </c>
      <c r="E21" s="29" t="n">
        <f aca="false">SUM($C$3:C21)</f>
        <v>4627336162.97</v>
      </c>
      <c r="F21" s="30" t="n">
        <f aca="false">D21/$D$222</f>
        <v>0.105230811253756</v>
      </c>
      <c r="G21" s="30" t="n">
        <f aca="false">E21/$E$222</f>
        <v>0.0264434099824478</v>
      </c>
      <c r="H21" s="31" t="n">
        <f aca="false">(F21-F20)*(G21+G20)</f>
        <v>0.000276786192601173</v>
      </c>
      <c r="I21" s="32" t="n">
        <f aca="false">MIN(10,ROUNDUP(F21*10,0))</f>
        <v>2</v>
      </c>
    </row>
    <row r="22" customFormat="false" ht="15.75" hidden="false" customHeight="true" outlineLevel="0" collapsed="false">
      <c r="A22" s="29" t="n">
        <v>150507.6</v>
      </c>
      <c r="B22" s="29" t="n">
        <v>3015</v>
      </c>
      <c r="C22" s="29" t="n">
        <f aca="false">A22*B22</f>
        <v>453780414</v>
      </c>
      <c r="D22" s="29" t="n">
        <f aca="false">SUM($B$3:B22)</f>
        <v>44622</v>
      </c>
      <c r="E22" s="29" t="n">
        <f aca="false">SUM($C$3:C22)</f>
        <v>5081116576.97</v>
      </c>
      <c r="F22" s="30" t="n">
        <f aca="false">D22/$D$222</f>
        <v>0.1128562323591</v>
      </c>
      <c r="G22" s="30" t="n">
        <f aca="false">E22/$E$222</f>
        <v>0.0290365869436188</v>
      </c>
      <c r="H22" s="31" t="n">
        <f aca="false">(F22-F21)*(G22+G21)</f>
        <v>0.000423058339484483</v>
      </c>
      <c r="I22" s="32" t="n">
        <f aca="false">MIN(10,ROUNDUP(F22*10,0))</f>
        <v>2</v>
      </c>
    </row>
    <row r="23" customFormat="false" ht="15.75" hidden="false" customHeight="true" outlineLevel="0" collapsed="false">
      <c r="A23" s="29" t="n">
        <v>151182.43</v>
      </c>
      <c r="B23" s="29" t="n">
        <v>1862</v>
      </c>
      <c r="C23" s="29" t="n">
        <f aca="false">A23*B23</f>
        <v>281501684.66</v>
      </c>
      <c r="D23" s="29" t="n">
        <f aca="false">SUM($B$3:B23)</f>
        <v>46484</v>
      </c>
      <c r="E23" s="29" t="n">
        <f aca="false">SUM($C$3:C23)</f>
        <v>5362618261.63</v>
      </c>
      <c r="F23" s="30" t="n">
        <f aca="false">D23/$D$222</f>
        <v>0.117565530567443</v>
      </c>
      <c r="G23" s="30" t="n">
        <f aca="false">E23/$E$222</f>
        <v>0.0306452585845043</v>
      </c>
      <c r="H23" s="31" t="n">
        <f aca="false">(F23-F22)*(G23+G22)</f>
        <v>0.000281059608216145</v>
      </c>
      <c r="I23" s="32" t="n">
        <f aca="false">MIN(10,ROUNDUP(F23*10,0))</f>
        <v>2</v>
      </c>
    </row>
    <row r="24" customFormat="false" ht="15.75" hidden="false" customHeight="true" outlineLevel="0" collapsed="false">
      <c r="A24" s="29" t="n">
        <v>153425.67</v>
      </c>
      <c r="B24" s="29" t="n">
        <v>534</v>
      </c>
      <c r="C24" s="29" t="n">
        <f aca="false">A24*B24</f>
        <v>81929307.78</v>
      </c>
      <c r="D24" s="29" t="n">
        <f aca="false">SUM($B$3:B24)</f>
        <v>47018</v>
      </c>
      <c r="E24" s="29" t="n">
        <f aca="false">SUM($C$3:C24)</f>
        <v>5444547569.41</v>
      </c>
      <c r="F24" s="30" t="n">
        <f aca="false">D24/$D$222</f>
        <v>0.118916102663713</v>
      </c>
      <c r="G24" s="30" t="n">
        <f aca="false">E24/$E$222</f>
        <v>0.0311134524219311</v>
      </c>
      <c r="H24" s="31" t="n">
        <f aca="false">(F24-F23)*(G24+G23)</f>
        <v>8.34095917868947E-005</v>
      </c>
      <c r="I24" s="32" t="n">
        <f aca="false">MIN(10,ROUNDUP(F24*10,0))</f>
        <v>2</v>
      </c>
    </row>
    <row r="25" customFormat="false" ht="15.75" hidden="false" customHeight="true" outlineLevel="0" collapsed="false">
      <c r="A25" s="29" t="n">
        <v>160095</v>
      </c>
      <c r="B25" s="29" t="n">
        <v>2208</v>
      </c>
      <c r="C25" s="29" t="n">
        <f aca="false">A25*B25</f>
        <v>353489760</v>
      </c>
      <c r="D25" s="29" t="n">
        <f aca="false">SUM($B$3:B25)</f>
        <v>49226</v>
      </c>
      <c r="E25" s="29" t="n">
        <f aca="false">SUM($C$3:C25)</f>
        <v>5798037329.41</v>
      </c>
      <c r="F25" s="30" t="n">
        <f aca="false">D25/$D$222</f>
        <v>0.124500490657278</v>
      </c>
      <c r="G25" s="30" t="n">
        <f aca="false">E25/$E$222</f>
        <v>0.0331335076586956</v>
      </c>
      <c r="H25" s="31" t="n">
        <f aca="false">(F25-F24)*(G25+G24)</f>
        <v>0.000358779952497354</v>
      </c>
      <c r="I25" s="32" t="n">
        <f aca="false">MIN(10,ROUNDUP(F25*10,0))</f>
        <v>2</v>
      </c>
    </row>
    <row r="26" customFormat="false" ht="15.75" hidden="false" customHeight="true" outlineLevel="0" collapsed="false">
      <c r="A26" s="29" t="n">
        <v>170750</v>
      </c>
      <c r="B26" s="29" t="n">
        <v>2272</v>
      </c>
      <c r="C26" s="29" t="n">
        <f aca="false">A26*B26</f>
        <v>387944000</v>
      </c>
      <c r="D26" s="29" t="n">
        <f aca="false">SUM($B$3:B26)</f>
        <v>51498</v>
      </c>
      <c r="E26" s="29" t="n">
        <f aca="false">SUM($C$3:C26)</f>
        <v>6185981329.41</v>
      </c>
      <c r="F26" s="30" t="n">
        <f aca="false">D26/$D$222</f>
        <v>0.130246744969498</v>
      </c>
      <c r="G26" s="30" t="n">
        <f aca="false">E26/$E$222</f>
        <v>0.0353504553540725</v>
      </c>
      <c r="H26" s="31" t="n">
        <f aca="false">(F26-F25)*(G26+G25)</f>
        <v>0.000393526267780027</v>
      </c>
      <c r="I26" s="32" t="n">
        <f aca="false">MIN(10,ROUNDUP(F26*10,0))</f>
        <v>2</v>
      </c>
    </row>
    <row r="27" customFormat="false" ht="15.75" hidden="false" customHeight="true" outlineLevel="0" collapsed="false">
      <c r="A27" s="29" t="n">
        <v>179731.33</v>
      </c>
      <c r="B27" s="29" t="n">
        <v>1044</v>
      </c>
      <c r="C27" s="29" t="n">
        <f aca="false">A27*B27</f>
        <v>187639508.52</v>
      </c>
      <c r="D27" s="29" t="n">
        <f aca="false">SUM($B$3:B27)</f>
        <v>52542</v>
      </c>
      <c r="E27" s="29" t="n">
        <f aca="false">SUM($C$3:C27)</f>
        <v>6373620837.93</v>
      </c>
      <c r="F27" s="30" t="n">
        <f aca="false">D27/$D$222</f>
        <v>0.132887189292543</v>
      </c>
      <c r="G27" s="30" t="n">
        <f aca="false">E27/$E$222</f>
        <v>0.0364227414984003</v>
      </c>
      <c r="H27" s="31" t="n">
        <f aca="false">(F27-F26)*(G27+G26)</f>
        <v>0.000189513130175883</v>
      </c>
      <c r="I27" s="32" t="n">
        <f aca="false">MIN(10,ROUNDUP(F27*10,0))</f>
        <v>2</v>
      </c>
    </row>
    <row r="28" customFormat="false" ht="15.75" hidden="false" customHeight="true" outlineLevel="0" collapsed="false">
      <c r="A28" s="29" t="n">
        <v>180000</v>
      </c>
      <c r="B28" s="29" t="n">
        <v>2370</v>
      </c>
      <c r="C28" s="29" t="n">
        <f aca="false">A28*B28</f>
        <v>426600000</v>
      </c>
      <c r="D28" s="29" t="n">
        <f aca="false">SUM($B$3:B28)</f>
        <v>54912</v>
      </c>
      <c r="E28" s="29" t="n">
        <f aca="false">SUM($C$3:C28)</f>
        <v>6800220837.93</v>
      </c>
      <c r="F28" s="30" t="n">
        <f aca="false">D28/$D$222</f>
        <v>0.138881301405202</v>
      </c>
      <c r="G28" s="30" t="n">
        <f aca="false">E28/$E$222</f>
        <v>0.0388605930616357</v>
      </c>
      <c r="H28" s="31" t="n">
        <f aca="false">(F28-F27)*(G28+G27)</f>
        <v>0.000451256747567667</v>
      </c>
      <c r="I28" s="32" t="n">
        <f aca="false">MIN(10,ROUNDUP(F28*10,0))</f>
        <v>2</v>
      </c>
    </row>
    <row r="29" customFormat="false" ht="15.75" hidden="false" customHeight="true" outlineLevel="0" collapsed="false">
      <c r="A29" s="29" t="n">
        <v>186312.5</v>
      </c>
      <c r="B29" s="29" t="n">
        <v>1260</v>
      </c>
      <c r="C29" s="29" t="n">
        <f aca="false">A29*B29</f>
        <v>234753750</v>
      </c>
      <c r="D29" s="29" t="n">
        <f aca="false">SUM($B$3:B29)</f>
        <v>56172</v>
      </c>
      <c r="E29" s="29" t="n">
        <f aca="false">SUM($C$3:C29)</f>
        <v>7034974587.93</v>
      </c>
      <c r="F29" s="30" t="n">
        <f aca="false">D29/$D$222</f>
        <v>0.142068044553704</v>
      </c>
      <c r="G29" s="30" t="n">
        <f aca="false">E29/$E$222</f>
        <v>0.0402021186040944</v>
      </c>
      <c r="H29" s="31" t="n">
        <f aca="false">(F29-F28)*(G29+G28)</f>
        <v>0.000251952554702773</v>
      </c>
      <c r="I29" s="32" t="n">
        <f aca="false">MIN(10,ROUNDUP(F29*10,0))</f>
        <v>2</v>
      </c>
    </row>
    <row r="30" customFormat="false" ht="15.75" hidden="false" customHeight="true" outlineLevel="0" collapsed="false">
      <c r="A30" s="29" t="n">
        <v>190003.75</v>
      </c>
      <c r="B30" s="29" t="n">
        <v>2320</v>
      </c>
      <c r="C30" s="29" t="n">
        <f aca="false">A30*B30</f>
        <v>440808700</v>
      </c>
      <c r="D30" s="29" t="n">
        <f aca="false">SUM($B$3:B30)</f>
        <v>58492</v>
      </c>
      <c r="E30" s="29" t="n">
        <f aca="false">SUM($C$3:C30)</f>
        <v>7475783287.93</v>
      </c>
      <c r="F30" s="30" t="n">
        <f aca="false">D30/$D$222</f>
        <v>0.147935698604915</v>
      </c>
      <c r="G30" s="30" t="n">
        <f aca="false">E30/$E$222</f>
        <v>0.0427211673110395</v>
      </c>
      <c r="H30" s="31" t="n">
        <f aca="false">(F30-F29)*(G30+G29)</f>
        <v>0.00048656515453962</v>
      </c>
      <c r="I30" s="32" t="n">
        <f aca="false">MIN(10,ROUNDUP(F30*10,0))</f>
        <v>2</v>
      </c>
    </row>
    <row r="31" customFormat="false" ht="15.75" hidden="false" customHeight="true" outlineLevel="0" collapsed="false">
      <c r="A31" s="29" t="n">
        <v>190250</v>
      </c>
      <c r="B31" s="29" t="n">
        <v>3580</v>
      </c>
      <c r="C31" s="29" t="n">
        <f aca="false">A31*B31</f>
        <v>681095000</v>
      </c>
      <c r="D31" s="29" t="n">
        <f aca="false">SUM($B$3:B31)</f>
        <v>62072</v>
      </c>
      <c r="E31" s="29" t="n">
        <f aca="false">SUM($C$3:C31)</f>
        <v>8156878287.93</v>
      </c>
      <c r="F31" s="30" t="n">
        <f aca="false">D31/$D$222</f>
        <v>0.156990095804627</v>
      </c>
      <c r="G31" s="30" t="n">
        <f aca="false">E31/$E$222</f>
        <v>0.0466133579122158</v>
      </c>
      <c r="H31" s="31" t="n">
        <f aca="false">(F31-F30)*(G31+G30)</f>
        <v>0.000808870275019105</v>
      </c>
      <c r="I31" s="32" t="n">
        <f aca="false">MIN(10,ROUNDUP(F31*10,0))</f>
        <v>2</v>
      </c>
    </row>
    <row r="32" customFormat="false" ht="15.75" hidden="false" customHeight="true" outlineLevel="0" collapsed="false">
      <c r="A32" s="29" t="n">
        <v>192099.33</v>
      </c>
      <c r="B32" s="29" t="n">
        <v>1044</v>
      </c>
      <c r="C32" s="29" t="n">
        <f aca="false">A32*B32</f>
        <v>200551700.52</v>
      </c>
      <c r="D32" s="29" t="n">
        <f aca="false">SUM($B$3:B32)</f>
        <v>63116</v>
      </c>
      <c r="E32" s="29" t="n">
        <f aca="false">SUM($C$3:C32)</f>
        <v>8357429988.45</v>
      </c>
      <c r="F32" s="30" t="n">
        <f aca="false">D32/$D$222</f>
        <v>0.159630540127672</v>
      </c>
      <c r="G32" s="30" t="n">
        <f aca="false">E32/$E$222</f>
        <v>0.0477594321659013</v>
      </c>
      <c r="H32" s="31" t="n">
        <f aca="false">(F32-F31)*(G32+G31)</f>
        <v>0.000249186097811653</v>
      </c>
      <c r="I32" s="32" t="n">
        <f aca="false">MIN(10,ROUNDUP(F32*10,0))</f>
        <v>2</v>
      </c>
    </row>
    <row r="33" customFormat="false" ht="15.75" hidden="false" customHeight="true" outlineLevel="0" collapsed="false">
      <c r="A33" s="29" t="n">
        <v>200000</v>
      </c>
      <c r="B33" s="29" t="n">
        <v>4111</v>
      </c>
      <c r="C33" s="29" t="n">
        <f aca="false">A33*B33</f>
        <v>822200000</v>
      </c>
      <c r="D33" s="29" t="n">
        <f aca="false">SUM($B$3:B33)</f>
        <v>67227</v>
      </c>
      <c r="E33" s="29" t="n">
        <f aca="false">SUM($C$3:C33)</f>
        <v>9179629988.45</v>
      </c>
      <c r="F33" s="30" t="n">
        <f aca="false">D33/$D$222</f>
        <v>0.170027921939968</v>
      </c>
      <c r="G33" s="30" t="n">
        <f aca="false">E33/$E$222</f>
        <v>0.0524579824596007</v>
      </c>
      <c r="H33" s="31" t="n">
        <f aca="false">(F33-F32)*(G33+G32)</f>
        <v>0.0010419987241025</v>
      </c>
      <c r="I33" s="32" t="n">
        <f aca="false">MIN(10,ROUNDUP(F33*10,0))</f>
        <v>2</v>
      </c>
    </row>
    <row r="34" customFormat="false" ht="15.75" hidden="false" customHeight="true" outlineLevel="0" collapsed="false">
      <c r="A34" s="29" t="n">
        <v>206250</v>
      </c>
      <c r="B34" s="29" t="n">
        <v>2864</v>
      </c>
      <c r="C34" s="29" t="n">
        <f aca="false">A34*B34</f>
        <v>590700000</v>
      </c>
      <c r="D34" s="29" t="n">
        <f aca="false">SUM($B$3:B34)</f>
        <v>70091</v>
      </c>
      <c r="E34" s="29" t="n">
        <f aca="false">SUM($C$3:C34)</f>
        <v>9770329988.45</v>
      </c>
      <c r="F34" s="30" t="n">
        <f aca="false">D34/$D$222</f>
        <v>0.177271439699738</v>
      </c>
      <c r="G34" s="30" t="n">
        <f aca="false">E34/$E$222</f>
        <v>0.055833601115023</v>
      </c>
      <c r="H34" s="31" t="n">
        <f aca="false">(F34-F33)*(G34+G33)</f>
        <v>0.000784412008856422</v>
      </c>
      <c r="I34" s="32" t="n">
        <f aca="false">MIN(10,ROUNDUP(F34*10,0))</f>
        <v>2</v>
      </c>
    </row>
    <row r="35" customFormat="false" ht="15.75" hidden="false" customHeight="true" outlineLevel="0" collapsed="false">
      <c r="A35" s="29" t="n">
        <v>207542</v>
      </c>
      <c r="B35" s="29" t="n">
        <v>2475</v>
      </c>
      <c r="C35" s="29" t="n">
        <f aca="false">A35*B35</f>
        <v>513666450</v>
      </c>
      <c r="D35" s="29" t="n">
        <f aca="false">SUM($B$3:B35)</f>
        <v>72566</v>
      </c>
      <c r="E35" s="29" t="n">
        <f aca="false">SUM($C$3:C35)</f>
        <v>10283996438.45</v>
      </c>
      <c r="F35" s="30" t="n">
        <f aca="false">D35/$D$222</f>
        <v>0.183531113741439</v>
      </c>
      <c r="G35" s="30" t="n">
        <f aca="false">E35/$E$222</f>
        <v>0.0587690032671892</v>
      </c>
      <c r="H35" s="31" t="n">
        <f aca="false">(F35-F34)*(G35+G34)</f>
        <v>0.000717374947762641</v>
      </c>
      <c r="I35" s="32" t="n">
        <f aca="false">MIN(10,ROUNDUP(F35*10,0))</f>
        <v>2</v>
      </c>
    </row>
    <row r="36" customFormat="false" ht="15.75" hidden="false" customHeight="true" outlineLevel="0" collapsed="false">
      <c r="A36" s="29" t="n">
        <v>212000</v>
      </c>
      <c r="B36" s="29" t="n">
        <v>1865</v>
      </c>
      <c r="C36" s="29" t="n">
        <f aca="false">A36*B36</f>
        <v>395380000</v>
      </c>
      <c r="D36" s="29" t="n">
        <f aca="false">SUM($B$3:B36)</f>
        <v>74431</v>
      </c>
      <c r="E36" s="29" t="n">
        <f aca="false">SUM($C$3:C36)</f>
        <v>10679376438.45</v>
      </c>
      <c r="F36" s="30" t="n">
        <f aca="false">D36/$D$222</f>
        <v>0.188247999433468</v>
      </c>
      <c r="G36" s="30" t="n">
        <f aca="false">E36/$E$222</f>
        <v>0.0610284447840013</v>
      </c>
      <c r="H36" s="31" t="n">
        <f aca="false">(F36-F35)*(G36+G35)</f>
        <v>0.000565070868654257</v>
      </c>
      <c r="I36" s="32" t="n">
        <f aca="false">MIN(10,ROUNDUP(F36*10,0))</f>
        <v>2</v>
      </c>
    </row>
    <row r="37" customFormat="false" ht="15.75" hidden="false" customHeight="true" outlineLevel="0" collapsed="false">
      <c r="A37" s="29" t="n">
        <v>216666.67</v>
      </c>
      <c r="B37" s="29" t="n">
        <v>2352</v>
      </c>
      <c r="C37" s="29" t="n">
        <f aca="false">A37*B37</f>
        <v>509600007.84</v>
      </c>
      <c r="D37" s="29" t="n">
        <f aca="false">SUM($B$3:B37)</f>
        <v>76783</v>
      </c>
      <c r="E37" s="29" t="n">
        <f aca="false">SUM($C$3:C37)</f>
        <v>11188976446.29</v>
      </c>
      <c r="F37" s="30" t="n">
        <f aca="false">D37/$D$222</f>
        <v>0.194196586644005</v>
      </c>
      <c r="G37" s="30" t="n">
        <f aca="false">E37/$E$222</f>
        <v>0.063940608815266</v>
      </c>
      <c r="H37" s="31" t="n">
        <f aca="false">(F37-F36)*(G37+G36)</f>
        <v>0.000743389313953578</v>
      </c>
      <c r="I37" s="32" t="n">
        <f aca="false">MIN(10,ROUNDUP(F37*10,0))</f>
        <v>2</v>
      </c>
    </row>
    <row r="38" customFormat="false" ht="15.75" hidden="false" customHeight="true" outlineLevel="0" collapsed="false">
      <c r="A38" s="29" t="n">
        <v>223477.56</v>
      </c>
      <c r="B38" s="29" t="n">
        <v>3168</v>
      </c>
      <c r="C38" s="29" t="n">
        <f aca="false">A38*B38</f>
        <v>707976910.08</v>
      </c>
      <c r="D38" s="29" t="n">
        <f aca="false">SUM($B$3:B38)</f>
        <v>79951</v>
      </c>
      <c r="E38" s="29" t="n">
        <f aca="false">SUM($C$3:C38)</f>
        <v>11896953356.37</v>
      </c>
      <c r="F38" s="30" t="n">
        <f aca="false">D38/$D$222</f>
        <v>0.202208969417382</v>
      </c>
      <c r="G38" s="30" t="n">
        <f aca="false">E38/$E$222</f>
        <v>0.0679864189816352</v>
      </c>
      <c r="H38" s="31" t="n">
        <f aca="false">(F38-F37)*(G38+G37)</f>
        <v>0.00105704984486273</v>
      </c>
      <c r="I38" s="32" t="n">
        <f aca="false">MIN(10,ROUNDUP(F38*10,0))</f>
        <v>3</v>
      </c>
    </row>
    <row r="39" customFormat="false" ht="15.75" hidden="false" customHeight="true" outlineLevel="0" collapsed="false">
      <c r="A39" s="29" t="n">
        <v>224250</v>
      </c>
      <c r="B39" s="29" t="n">
        <v>1356</v>
      </c>
      <c r="C39" s="29" t="n">
        <f aca="false">A39*B39</f>
        <v>304083000</v>
      </c>
      <c r="D39" s="29" t="n">
        <f aca="false">SUM($B$3:B39)</f>
        <v>81307</v>
      </c>
      <c r="E39" s="29" t="n">
        <f aca="false">SUM($C$3:C39)</f>
        <v>12201036356.37</v>
      </c>
      <c r="F39" s="30" t="n">
        <f aca="false">D39/$D$222</f>
        <v>0.205638512043866</v>
      </c>
      <c r="G39" s="30" t="n">
        <f aca="false">E39/$E$222</f>
        <v>0.0697241339767204</v>
      </c>
      <c r="H39" s="31" t="n">
        <f aca="false">(F39-F38)*(G39+G38)</f>
        <v>0.000472284211487273</v>
      </c>
      <c r="I39" s="32" t="n">
        <f aca="false">MIN(10,ROUNDUP(F39*10,0))</f>
        <v>3</v>
      </c>
    </row>
    <row r="40" customFormat="false" ht="15.75" hidden="false" customHeight="true" outlineLevel="0" collapsed="false">
      <c r="A40" s="29" t="n">
        <v>226000</v>
      </c>
      <c r="B40" s="29" t="n">
        <v>891</v>
      </c>
      <c r="C40" s="29" t="n">
        <f aca="false">A40*B40</f>
        <v>201366000</v>
      </c>
      <c r="D40" s="29" t="n">
        <f aca="false">SUM($B$3:B40)</f>
        <v>82198</v>
      </c>
      <c r="E40" s="29" t="n">
        <f aca="false">SUM($C$3:C40)</f>
        <v>12402402356.37</v>
      </c>
      <c r="F40" s="30" t="n">
        <f aca="false">D40/$D$222</f>
        <v>0.207891994698878</v>
      </c>
      <c r="G40" s="30" t="n">
        <f aca="false">E40/$E$222</f>
        <v>0.0708748616323286</v>
      </c>
      <c r="H40" s="31" t="n">
        <f aca="false">(F40-F39)*(G40+G39)</f>
        <v>0.000316837397917142</v>
      </c>
      <c r="I40" s="32" t="n">
        <f aca="false">MIN(10,ROUNDUP(F40*10,0))</f>
        <v>3</v>
      </c>
    </row>
    <row r="41" customFormat="false" ht="15.75" hidden="false" customHeight="true" outlineLevel="0" collapsed="false">
      <c r="A41" s="29" t="n">
        <v>227000</v>
      </c>
      <c r="B41" s="29" t="n">
        <v>446</v>
      </c>
      <c r="C41" s="29" t="n">
        <f aca="false">A41*B41</f>
        <v>101242000</v>
      </c>
      <c r="D41" s="29" t="n">
        <f aca="false">SUM($B$3:B41)</f>
        <v>82644</v>
      </c>
      <c r="E41" s="29" t="n">
        <f aca="false">SUM($C$3:C41)</f>
        <v>12503644356.37</v>
      </c>
      <c r="F41" s="30" t="n">
        <f aca="false">D41/$D$222</f>
        <v>0.209020000606999</v>
      </c>
      <c r="G41" s="30" t="n">
        <f aca="false">E41/$E$222</f>
        <v>0.0714534199257301</v>
      </c>
      <c r="H41" s="31" t="n">
        <f aca="false">(F41-F40)*(G41+G40)</f>
        <v>0.000160547142490146</v>
      </c>
      <c r="I41" s="32" t="n">
        <f aca="false">MIN(10,ROUNDUP(F41*10,0))</f>
        <v>3</v>
      </c>
    </row>
    <row r="42" customFormat="false" ht="15.75" hidden="false" customHeight="true" outlineLevel="0" collapsed="false">
      <c r="A42" s="29" t="n">
        <v>230000</v>
      </c>
      <c r="B42" s="29" t="n">
        <v>1535</v>
      </c>
      <c r="C42" s="29" t="n">
        <f aca="false">A42*B42</f>
        <v>353050000</v>
      </c>
      <c r="D42" s="29" t="n">
        <f aca="false">SUM($B$3:B42)</f>
        <v>84179</v>
      </c>
      <c r="E42" s="29" t="n">
        <f aca="false">SUM($C$3:C42)</f>
        <v>12856694356.37</v>
      </c>
      <c r="F42" s="30" t="n">
        <f aca="false">D42/$D$222</f>
        <v>0.212902263093468</v>
      </c>
      <c r="G42" s="30" t="n">
        <f aca="false">E42/$E$222</f>
        <v>0.0734709621066965</v>
      </c>
      <c r="H42" s="31" t="n">
        <f aca="false">(F42-F41)*(G42+G41)</f>
        <v>0.000562634491739192</v>
      </c>
      <c r="I42" s="32" t="n">
        <f aca="false">MIN(10,ROUNDUP(F42*10,0))</f>
        <v>3</v>
      </c>
    </row>
    <row r="43" customFormat="false" ht="15.75" hidden="false" customHeight="true" outlineLevel="0" collapsed="false">
      <c r="A43" s="29" t="n">
        <v>233333.33</v>
      </c>
      <c r="B43" s="29" t="n">
        <v>2106</v>
      </c>
      <c r="C43" s="29" t="n">
        <f aca="false">A43*B43</f>
        <v>491399992.98</v>
      </c>
      <c r="D43" s="29" t="n">
        <f aca="false">SUM($B$3:B43)</f>
        <v>86285</v>
      </c>
      <c r="E43" s="29" t="n">
        <f aca="false">SUM($C$3:C43)</f>
        <v>13348094349.35</v>
      </c>
      <c r="F43" s="30" t="n">
        <f aca="false">D43/$D$222</f>
        <v>0.218228676641679</v>
      </c>
      <c r="G43" s="30" t="n">
        <f aca="false">E43/$E$222</f>
        <v>0.0762791201963828</v>
      </c>
      <c r="H43" s="31" t="n">
        <f aca="false">(F43-F42)*(G43+G42)</f>
        <v>0.000797630867224814</v>
      </c>
      <c r="I43" s="32" t="n">
        <f aca="false">MIN(10,ROUNDUP(F43*10,0))</f>
        <v>3</v>
      </c>
    </row>
    <row r="44" customFormat="false" ht="15.75" hidden="false" customHeight="true" outlineLevel="0" collapsed="false">
      <c r="A44" s="29" t="n">
        <v>235000</v>
      </c>
      <c r="B44" s="29" t="n">
        <v>1780</v>
      </c>
      <c r="C44" s="29" t="n">
        <f aca="false">A44*B44</f>
        <v>418300000</v>
      </c>
      <c r="D44" s="29" t="n">
        <f aca="false">SUM($B$3:B44)</f>
        <v>88065</v>
      </c>
      <c r="E44" s="29" t="n">
        <f aca="false">SUM($C$3:C44)</f>
        <v>13766394349.35</v>
      </c>
      <c r="F44" s="30" t="n">
        <f aca="false">D44/$D$222</f>
        <v>0.222730583629245</v>
      </c>
      <c r="G44" s="30" t="n">
        <f aca="false">E44/$E$222</f>
        <v>0.0786695405172955</v>
      </c>
      <c r="H44" s="31" t="n">
        <f aca="false">(F44-F43)*(G44+G43)</f>
        <v>0.000697564458381001</v>
      </c>
      <c r="I44" s="32" t="n">
        <f aca="false">MIN(10,ROUNDUP(F44*10,0))</f>
        <v>3</v>
      </c>
    </row>
    <row r="45" customFormat="false" ht="15.75" hidden="false" customHeight="true" outlineLevel="0" collapsed="false">
      <c r="A45" s="29" t="n">
        <v>236142.5</v>
      </c>
      <c r="B45" s="29" t="n">
        <v>1244</v>
      </c>
      <c r="C45" s="29" t="n">
        <f aca="false">A45*B45</f>
        <v>293761270</v>
      </c>
      <c r="D45" s="29" t="n">
        <f aca="false">SUM($B$3:B45)</f>
        <v>89309</v>
      </c>
      <c r="E45" s="29" t="n">
        <f aca="false">SUM($C$3:C45)</f>
        <v>14060155619.35</v>
      </c>
      <c r="F45" s="30" t="n">
        <f aca="false">D45/$D$222</f>
        <v>0.225876860198084</v>
      </c>
      <c r="G45" s="30" t="n">
        <f aca="false">E45/$E$222</f>
        <v>0.0803482708766193</v>
      </c>
      <c r="H45" s="31" t="n">
        <f aca="false">(F45-F44)*(G45+G44)</f>
        <v>0.000500314014016686</v>
      </c>
      <c r="I45" s="32" t="n">
        <f aca="false">MIN(10,ROUNDUP(F45*10,0))</f>
        <v>3</v>
      </c>
    </row>
    <row r="46" customFormat="false" ht="15.75" hidden="false" customHeight="true" outlineLevel="0" collapsed="false">
      <c r="A46" s="29" t="n">
        <v>238333.33</v>
      </c>
      <c r="B46" s="29" t="n">
        <v>870</v>
      </c>
      <c r="C46" s="29" t="n">
        <f aca="false">A46*B46</f>
        <v>207349997.1</v>
      </c>
      <c r="D46" s="29" t="n">
        <f aca="false">SUM($B$3:B46)</f>
        <v>90179</v>
      </c>
      <c r="E46" s="29" t="n">
        <f aca="false">SUM($C$3:C46)</f>
        <v>14267505616.45</v>
      </c>
      <c r="F46" s="30" t="n">
        <f aca="false">D46/$D$222</f>
        <v>0.228077230467288</v>
      </c>
      <c r="G46" s="30" t="n">
        <f aca="false">E46/$E$222</f>
        <v>0.0815331947269876</v>
      </c>
      <c r="H46" s="31" t="n">
        <f aca="false">(F46-F45)*(G46+G45)</f>
        <v>0.000356199164049337</v>
      </c>
      <c r="I46" s="32" t="n">
        <f aca="false">MIN(10,ROUNDUP(F46*10,0))</f>
        <v>3</v>
      </c>
    </row>
    <row r="47" customFormat="false" ht="15.75" hidden="false" customHeight="true" outlineLevel="0" collapsed="false">
      <c r="A47" s="29" t="n">
        <v>239562.5</v>
      </c>
      <c r="B47" s="29" t="n">
        <v>2892</v>
      </c>
      <c r="C47" s="29" t="n">
        <f aca="false">A47*B47</f>
        <v>692814750</v>
      </c>
      <c r="D47" s="29" t="n">
        <f aca="false">SUM($B$3:B47)</f>
        <v>93071</v>
      </c>
      <c r="E47" s="29" t="n">
        <f aca="false">SUM($C$3:C47)</f>
        <v>14960320366.45</v>
      </c>
      <c r="F47" s="30" t="n">
        <f aca="false">D47/$D$222</f>
        <v>0.235391564741469</v>
      </c>
      <c r="G47" s="30" t="n">
        <f aca="false">E47/$E$222</f>
        <v>0.0854923590995147</v>
      </c>
      <c r="H47" s="31" t="n">
        <f aca="false">(F47-F46)*(G47+G46)</f>
        <v>0.0012216807330173</v>
      </c>
      <c r="I47" s="32" t="n">
        <f aca="false">MIN(10,ROUNDUP(F47*10,0))</f>
        <v>3</v>
      </c>
    </row>
    <row r="48" customFormat="false" ht="15.75" hidden="false" customHeight="true" outlineLevel="0" collapsed="false">
      <c r="A48" s="29" t="n">
        <v>240000</v>
      </c>
      <c r="B48" s="29" t="n">
        <v>1415</v>
      </c>
      <c r="C48" s="29" t="n">
        <f aca="false">A48*B48</f>
        <v>339600000</v>
      </c>
      <c r="D48" s="29" t="n">
        <f aca="false">SUM($B$3:B48)</f>
        <v>94486</v>
      </c>
      <c r="E48" s="29" t="n">
        <f aca="false">SUM($C$3:C48)</f>
        <v>15299920366.45</v>
      </c>
      <c r="F48" s="30" t="n">
        <f aca="false">D48/$D$222</f>
        <v>0.238970327880462</v>
      </c>
      <c r="G48" s="30" t="n">
        <f aca="false">E48/$E$222</f>
        <v>0.0874330398094883</v>
      </c>
      <c r="H48" s="31" t="n">
        <f aca="false">(F48-F47)*(G48+G47)</f>
        <v>0.000618859043411128</v>
      </c>
      <c r="I48" s="32" t="n">
        <f aca="false">MIN(10,ROUNDUP(F48*10,0))</f>
        <v>3</v>
      </c>
    </row>
    <row r="49" customFormat="false" ht="15.75" hidden="false" customHeight="true" outlineLevel="0" collapsed="false">
      <c r="A49" s="29" t="n">
        <v>242800</v>
      </c>
      <c r="B49" s="29" t="n">
        <v>3860</v>
      </c>
      <c r="C49" s="29" t="n">
        <f aca="false">A49*B49</f>
        <v>937208000</v>
      </c>
      <c r="D49" s="29" t="n">
        <f aca="false">SUM($B$3:B49)</f>
        <v>98346</v>
      </c>
      <c r="E49" s="29" t="n">
        <f aca="false">SUM($C$3:C49)</f>
        <v>16237128366.45</v>
      </c>
      <c r="F49" s="30" t="n">
        <f aca="false">D49/$D$222</f>
        <v>0.248732890224286</v>
      </c>
      <c r="G49" s="30" t="n">
        <f aca="false">E49/$E$222</f>
        <v>0.0927888156835548</v>
      </c>
      <c r="H49" s="31" t="n">
        <f aca="false">(F49-F48)*(G49+G48)</f>
        <v>0.00175942709997053</v>
      </c>
      <c r="I49" s="32" t="n">
        <f aca="false">MIN(10,ROUNDUP(F49*10,0))</f>
        <v>3</v>
      </c>
    </row>
    <row r="50" customFormat="false" ht="15.75" hidden="false" customHeight="true" outlineLevel="0" collapsed="false">
      <c r="A50" s="29" t="n">
        <v>248654.4</v>
      </c>
      <c r="B50" s="29" t="n">
        <v>2050</v>
      </c>
      <c r="C50" s="29" t="n">
        <f aca="false">A50*B50</f>
        <v>509741520</v>
      </c>
      <c r="D50" s="29" t="n">
        <f aca="false">SUM($B$3:B50)</f>
        <v>100396</v>
      </c>
      <c r="E50" s="29" t="n">
        <f aca="false">SUM($C$3:C50)</f>
        <v>16746869886.45</v>
      </c>
      <c r="F50" s="30" t="n">
        <f aca="false">D50/$D$222</f>
        <v>0.253917670743675</v>
      </c>
      <c r="G50" s="30" t="n">
        <f aca="false">E50/$E$222</f>
        <v>0.0957017884012716</v>
      </c>
      <c r="H50" s="31" t="n">
        <f aca="false">(F50-F49)*(G50+G49)</f>
        <v>0.000977282412146784</v>
      </c>
      <c r="I50" s="32" t="n">
        <f aca="false">MIN(10,ROUNDUP(F50*10,0))</f>
        <v>3</v>
      </c>
    </row>
    <row r="51" customFormat="false" ht="15.75" hidden="false" customHeight="true" outlineLevel="0" collapsed="false">
      <c r="A51" s="29" t="n">
        <v>249500</v>
      </c>
      <c r="B51" s="29" t="n">
        <v>1100</v>
      </c>
      <c r="C51" s="29" t="n">
        <f aca="false">A51*B51</f>
        <v>274450000</v>
      </c>
      <c r="D51" s="29" t="n">
        <f aca="false">SUM($B$3:B51)</f>
        <v>101496</v>
      </c>
      <c r="E51" s="29" t="n">
        <f aca="false">SUM($C$3:C51)</f>
        <v>17021319886.45</v>
      </c>
      <c r="F51" s="30" t="n">
        <f aca="false">D51/$D$222</f>
        <v>0.256699748095542</v>
      </c>
      <c r="G51" s="30" t="n">
        <f aca="false">E51/$E$222</f>
        <v>0.0972701624320498</v>
      </c>
      <c r="H51" s="31" t="n">
        <f aca="false">(F51-F50)*(G51+G50)</f>
        <v>0.000536862893958981</v>
      </c>
      <c r="I51" s="32" t="n">
        <f aca="false">MIN(10,ROUNDUP(F51*10,0))</f>
        <v>3</v>
      </c>
    </row>
    <row r="52" customFormat="false" ht="15.75" hidden="false" customHeight="true" outlineLevel="0" collapsed="false">
      <c r="A52" s="29" t="n">
        <v>250000</v>
      </c>
      <c r="B52" s="29" t="n">
        <v>2086</v>
      </c>
      <c r="C52" s="29" t="n">
        <f aca="false">A52*B52</f>
        <v>521500000</v>
      </c>
      <c r="D52" s="29" t="n">
        <f aca="false">SUM($B$3:B52)</f>
        <v>103582</v>
      </c>
      <c r="E52" s="29" t="n">
        <f aca="false">SUM($C$3:C52)</f>
        <v>17542819886.45</v>
      </c>
      <c r="F52" s="30" t="n">
        <f aca="false">D52/$D$222</f>
        <v>0.261975578419173</v>
      </c>
      <c r="G52" s="30" t="n">
        <f aca="false">E52/$E$222</f>
        <v>0.100250330247866</v>
      </c>
      <c r="H52" s="31" t="n">
        <f aca="false">(F52-F51)*(G52+G51)</f>
        <v>0.00104208460481933</v>
      </c>
      <c r="I52" s="32" t="n">
        <f aca="false">MIN(10,ROUNDUP(F52*10,0))</f>
        <v>3</v>
      </c>
    </row>
    <row r="53" customFormat="false" ht="15.75" hidden="false" customHeight="true" outlineLevel="0" collapsed="false">
      <c r="A53" s="29" t="n">
        <v>252500</v>
      </c>
      <c r="B53" s="29" t="n">
        <v>5256</v>
      </c>
      <c r="C53" s="29" t="n">
        <f aca="false">A53*B53</f>
        <v>1327140000</v>
      </c>
      <c r="D53" s="29" t="n">
        <f aca="false">SUM($B$3:B53)</f>
        <v>108838</v>
      </c>
      <c r="E53" s="29" t="n">
        <f aca="false">SUM($C$3:C53)</f>
        <v>18869959886.45</v>
      </c>
      <c r="F53" s="30" t="n">
        <f aca="false">D53/$D$222</f>
        <v>0.27526884983864</v>
      </c>
      <c r="G53" s="30" t="n">
        <f aca="false">E53/$E$222</f>
        <v>0.107834414457037</v>
      </c>
      <c r="H53" s="31" t="n">
        <f aca="false">(F53-F52)*(G53+G52)</f>
        <v>0.00276612698961266</v>
      </c>
      <c r="I53" s="32" t="n">
        <f aca="false">MIN(10,ROUNDUP(F53*10,0))</f>
        <v>3</v>
      </c>
    </row>
    <row r="54" customFormat="false" ht="15.75" hidden="false" customHeight="true" outlineLevel="0" collapsed="false">
      <c r="A54" s="29" t="n">
        <v>256666.67</v>
      </c>
      <c r="B54" s="29" t="n">
        <v>2142</v>
      </c>
      <c r="C54" s="29" t="n">
        <f aca="false">A54*B54</f>
        <v>549780007.14</v>
      </c>
      <c r="D54" s="29" t="n">
        <f aca="false">SUM($B$3:B54)</f>
        <v>110980</v>
      </c>
      <c r="E54" s="29" t="n">
        <f aca="false">SUM($C$3:C54)</f>
        <v>19419739893.59</v>
      </c>
      <c r="F54" s="30" t="n">
        <f aca="false">D54/$D$222</f>
        <v>0.280686313191093</v>
      </c>
      <c r="G54" s="30" t="n">
        <f aca="false">E54/$E$222</f>
        <v>0.110976191414003</v>
      </c>
      <c r="H54" s="31" t="n">
        <f aca="false">(F54-F53)*(G54+G53)</f>
        <v>0.00118539843843457</v>
      </c>
      <c r="I54" s="32" t="n">
        <f aca="false">MIN(10,ROUNDUP(F54*10,0))</f>
        <v>3</v>
      </c>
    </row>
    <row r="55" customFormat="false" ht="15.75" hidden="false" customHeight="true" outlineLevel="0" collapsed="false">
      <c r="A55" s="29" t="n">
        <v>258984</v>
      </c>
      <c r="B55" s="29" t="n">
        <v>1184</v>
      </c>
      <c r="C55" s="29" t="n">
        <f aca="false">A55*B55</f>
        <v>306637056</v>
      </c>
      <c r="D55" s="29" t="n">
        <f aca="false">SUM($B$3:B55)</f>
        <v>112164</v>
      </c>
      <c r="E55" s="29" t="n">
        <f aca="false">SUM($C$3:C55)</f>
        <v>19726376949.59</v>
      </c>
      <c r="F55" s="30" t="n">
        <f aca="false">D55/$D$222</f>
        <v>0.283680840086194</v>
      </c>
      <c r="G55" s="30" t="n">
        <f aca="false">E55/$E$222</f>
        <v>0.112728501836684</v>
      </c>
      <c r="H55" s="31" t="n">
        <f aca="false">(F55-F54)*(G55+G54)</f>
        <v>0.000669889720499388</v>
      </c>
      <c r="I55" s="32" t="n">
        <f aca="false">MIN(10,ROUNDUP(F55*10,0))</f>
        <v>3</v>
      </c>
    </row>
    <row r="56" customFormat="false" ht="15.75" hidden="false" customHeight="true" outlineLevel="0" collapsed="false">
      <c r="A56" s="29" t="n">
        <v>260000</v>
      </c>
      <c r="B56" s="29" t="n">
        <v>3710</v>
      </c>
      <c r="C56" s="29" t="n">
        <f aca="false">A56*B56</f>
        <v>964600000</v>
      </c>
      <c r="D56" s="29" t="n">
        <f aca="false">SUM($B$3:B56)</f>
        <v>115874</v>
      </c>
      <c r="E56" s="29" t="n">
        <f aca="false">SUM($C$3:C56)</f>
        <v>20690976949.59</v>
      </c>
      <c r="F56" s="30" t="n">
        <f aca="false">D56/$D$222</f>
        <v>0.293064028245673</v>
      </c>
      <c r="G56" s="30" t="n">
        <f aca="false">E56/$E$222</f>
        <v>0.11824081223963</v>
      </c>
      <c r="H56" s="31" t="n">
        <f aca="false">(F56-F55)*(G56+G55)</f>
        <v>0.00216722853304381</v>
      </c>
      <c r="I56" s="32" t="n">
        <f aca="false">MIN(10,ROUNDUP(F56*10,0))</f>
        <v>3</v>
      </c>
    </row>
    <row r="57" customFormat="false" ht="15.75" hidden="false" customHeight="true" outlineLevel="0" collapsed="false">
      <c r="A57" s="29" t="n">
        <v>262469.33</v>
      </c>
      <c r="B57" s="29" t="n">
        <v>903</v>
      </c>
      <c r="C57" s="29" t="n">
        <f aca="false">A57*B57</f>
        <v>237009804.99</v>
      </c>
      <c r="D57" s="29" t="n">
        <f aca="false">SUM($B$3:B57)</f>
        <v>116777</v>
      </c>
      <c r="E57" s="29" t="n">
        <f aca="false">SUM($C$3:C57)</f>
        <v>20927986754.58</v>
      </c>
      <c r="F57" s="30" t="n">
        <f aca="false">D57/$D$222</f>
        <v>0.295347860835433</v>
      </c>
      <c r="G57" s="30" t="n">
        <f aca="false">E57/$E$222</f>
        <v>0.119595230250875</v>
      </c>
      <c r="H57" s="31" t="n">
        <f aca="false">(F57-F56)*(G57+G56)</f>
        <v>0.000543177704859334</v>
      </c>
      <c r="I57" s="32" t="n">
        <f aca="false">MIN(10,ROUNDUP(F57*10,0))</f>
        <v>3</v>
      </c>
    </row>
    <row r="58" customFormat="false" ht="15.75" hidden="false" customHeight="true" outlineLevel="0" collapsed="false">
      <c r="A58" s="29" t="n">
        <v>264800</v>
      </c>
      <c r="B58" s="29" t="n">
        <v>2410</v>
      </c>
      <c r="C58" s="29" t="n">
        <f aca="false">A58*B58</f>
        <v>638168000</v>
      </c>
      <c r="D58" s="29" t="n">
        <f aca="false">SUM($B$3:B58)</f>
        <v>119187</v>
      </c>
      <c r="E58" s="29" t="n">
        <f aca="false">SUM($C$3:C58)</f>
        <v>21566154754.58</v>
      </c>
      <c r="F58" s="30" t="n">
        <f aca="false">D58/$D$222</f>
        <v>0.30144313939725</v>
      </c>
      <c r="G58" s="30" t="n">
        <f aca="false">E58/$E$222</f>
        <v>0.123242109895523</v>
      </c>
      <c r="H58" s="31" t="n">
        <f aca="false">(F58-F57)*(G58+G57)</f>
        <v>0.00148016123340319</v>
      </c>
      <c r="I58" s="32" t="n">
        <f aca="false">MIN(10,ROUNDUP(F58*10,0))</f>
        <v>4</v>
      </c>
    </row>
    <row r="59" customFormat="false" ht="15.75" hidden="false" customHeight="true" outlineLevel="0" collapsed="false">
      <c r="A59" s="29" t="n">
        <v>270000</v>
      </c>
      <c r="B59" s="29" t="n">
        <v>2670</v>
      </c>
      <c r="C59" s="29" t="n">
        <f aca="false">A59*B59</f>
        <v>720900000</v>
      </c>
      <c r="D59" s="29" t="n">
        <f aca="false">SUM($B$3:B59)</f>
        <v>121857</v>
      </c>
      <c r="E59" s="29" t="n">
        <f aca="false">SUM($C$3:C59)</f>
        <v>22287054754.58</v>
      </c>
      <c r="F59" s="30" t="n">
        <f aca="false">D59/$D$222</f>
        <v>0.3081959998786</v>
      </c>
      <c r="G59" s="30" t="n">
        <f aca="false">E59/$E$222</f>
        <v>0.127361770448585</v>
      </c>
      <c r="H59" s="31" t="n">
        <f aca="false">(F59-F58)*(G59+G58)</f>
        <v>0.00169229304004867</v>
      </c>
      <c r="I59" s="32" t="n">
        <f aca="false">MIN(10,ROUNDUP(F59*10,0))</f>
        <v>4</v>
      </c>
    </row>
    <row r="60" customFormat="false" ht="15.75" hidden="false" customHeight="true" outlineLevel="0" collapsed="false">
      <c r="A60" s="29" t="n">
        <v>273306</v>
      </c>
      <c r="B60" s="29" t="n">
        <v>364</v>
      </c>
      <c r="C60" s="29" t="n">
        <f aca="false">A60*B60</f>
        <v>99483384</v>
      </c>
      <c r="D60" s="29" t="n">
        <f aca="false">SUM($B$3:B60)</f>
        <v>122221</v>
      </c>
      <c r="E60" s="29" t="n">
        <f aca="false">SUM($C$3:C60)</f>
        <v>22386538138.58</v>
      </c>
      <c r="F60" s="30" t="n">
        <f aca="false">D60/$D$222</f>
        <v>0.309116614565945</v>
      </c>
      <c r="G60" s="30" t="n">
        <f aca="false">E60/$E$222</f>
        <v>0.127930278941788</v>
      </c>
      <c r="H60" s="31" t="n">
        <f aca="false">(F60-F59)*(G60+G59)</f>
        <v>0.000235025610231211</v>
      </c>
      <c r="I60" s="32" t="n">
        <f aca="false">MIN(10,ROUNDUP(F60*10,0))</f>
        <v>4</v>
      </c>
    </row>
    <row r="61" customFormat="false" ht="15.75" hidden="false" customHeight="true" outlineLevel="0" collapsed="false">
      <c r="A61" s="29" t="n">
        <v>275000</v>
      </c>
      <c r="B61" s="29" t="n">
        <v>3620</v>
      </c>
      <c r="C61" s="29" t="n">
        <f aca="false">A61*B61</f>
        <v>995500000</v>
      </c>
      <c r="D61" s="29" t="n">
        <f aca="false">SUM($B$3:B61)</f>
        <v>125841</v>
      </c>
      <c r="E61" s="29" t="n">
        <f aca="false">SUM($C$3:C61)</f>
        <v>23382038138.58</v>
      </c>
      <c r="F61" s="30" t="n">
        <f aca="false">D61/$D$222</f>
        <v>0.318272178214817</v>
      </c>
      <c r="G61" s="30" t="n">
        <f aca="false">E61/$E$222</f>
        <v>0.133619170716755</v>
      </c>
      <c r="H61" s="31" t="n">
        <f aca="false">(F61-F60)*(G61+G60)</f>
        <v>0.0023946326336761</v>
      </c>
      <c r="I61" s="32" t="n">
        <f aca="false">MIN(10,ROUNDUP(F61*10,0))</f>
        <v>4</v>
      </c>
    </row>
    <row r="62" customFormat="false" ht="15.75" hidden="false" customHeight="true" outlineLevel="0" collapsed="false">
      <c r="A62" s="29" t="n">
        <v>282000</v>
      </c>
      <c r="B62" s="29" t="n">
        <v>1965</v>
      </c>
      <c r="C62" s="29" t="n">
        <f aca="false">A62*B62</f>
        <v>554130000</v>
      </c>
      <c r="D62" s="29" t="n">
        <f aca="false">SUM($B$3:B62)</f>
        <v>127806</v>
      </c>
      <c r="E62" s="29" t="n">
        <f aca="false">SUM($C$3:C62)</f>
        <v>23936168138.58</v>
      </c>
      <c r="F62" s="30" t="n">
        <f aca="false">D62/$D$222</f>
        <v>0.323241980029743</v>
      </c>
      <c r="G62" s="30" t="n">
        <f aca="false">E62/$E$222</f>
        <v>0.136785806175582</v>
      </c>
      <c r="H62" s="31" t="n">
        <f aca="false">(F62-F61)*(G62+G61)</f>
        <v>0.00134385914492458</v>
      </c>
      <c r="I62" s="32" t="n">
        <f aca="false">MIN(10,ROUNDUP(F62*10,0))</f>
        <v>4</v>
      </c>
    </row>
    <row r="63" customFormat="false" ht="15.75" hidden="false" customHeight="true" outlineLevel="0" collapsed="false">
      <c r="A63" s="29" t="n">
        <v>283333.33</v>
      </c>
      <c r="B63" s="29" t="n">
        <v>2487</v>
      </c>
      <c r="C63" s="29" t="n">
        <f aca="false">A63*B63</f>
        <v>704649991.71</v>
      </c>
      <c r="D63" s="29" t="n">
        <f aca="false">SUM($B$3:B63)</f>
        <v>130293</v>
      </c>
      <c r="E63" s="29" t="n">
        <f aca="false">SUM($C$3:C63)</f>
        <v>24640818130.29</v>
      </c>
      <c r="F63" s="30" t="n">
        <f aca="false">D63/$D$222</f>
        <v>0.329532004006191</v>
      </c>
      <c r="G63" s="30" t="n">
        <f aca="false">E63/$E$222</f>
        <v>0.140812604309253</v>
      </c>
      <c r="H63" s="31" t="n">
        <f aca="false">(F63-F62)*(G63+G62)</f>
        <v>0.00174610065777359</v>
      </c>
      <c r="I63" s="32" t="n">
        <f aca="false">MIN(10,ROUNDUP(F63*10,0))</f>
        <v>4</v>
      </c>
    </row>
    <row r="64" customFormat="false" ht="15.75" hidden="false" customHeight="true" outlineLevel="0" collapsed="false">
      <c r="A64" s="29" t="n">
        <v>284357.14</v>
      </c>
      <c r="B64" s="29" t="n">
        <v>2394</v>
      </c>
      <c r="C64" s="29" t="n">
        <f aca="false">A64*B64</f>
        <v>680750993.16</v>
      </c>
      <c r="D64" s="29" t="n">
        <f aca="false">SUM($B$3:B64)</f>
        <v>132687</v>
      </c>
      <c r="E64" s="29" t="n">
        <f aca="false">SUM($C$3:C64)</f>
        <v>25321569123.45</v>
      </c>
      <c r="F64" s="30" t="n">
        <f aca="false">D64/$D$222</f>
        <v>0.335586815988346</v>
      </c>
      <c r="G64" s="30" t="n">
        <f aca="false">E64/$E$222</f>
        <v>0.144702829046359</v>
      </c>
      <c r="H64" s="31" t="n">
        <f aca="false">(F64-F63)*(G64+G63)</f>
        <v>0.00172874226697152</v>
      </c>
      <c r="I64" s="32" t="n">
        <f aca="false">MIN(10,ROUNDUP(F64*10,0))</f>
        <v>4</v>
      </c>
    </row>
    <row r="65" customFormat="false" ht="15.75" hidden="false" customHeight="true" outlineLevel="0" collapsed="false">
      <c r="A65" s="29" t="n">
        <v>288658.8</v>
      </c>
      <c r="B65" s="29" t="n">
        <v>2390</v>
      </c>
      <c r="C65" s="29" t="n">
        <f aca="false">A65*B65</f>
        <v>689894532</v>
      </c>
      <c r="D65" s="29" t="n">
        <f aca="false">SUM($B$3:B65)</f>
        <v>135077</v>
      </c>
      <c r="E65" s="29" t="n">
        <f aca="false">SUM($C$3:C65)</f>
        <v>26011463655.45</v>
      </c>
      <c r="F65" s="30" t="n">
        <f aca="false">D65/$D$222</f>
        <v>0.341631511325584</v>
      </c>
      <c r="G65" s="30" t="n">
        <f aca="false">E65/$E$222</f>
        <v>0.148645305519176</v>
      </c>
      <c r="H65" s="31" t="n">
        <f aca="false">(F65-F64)*(G65+G64)</f>
        <v>0.00177320010119586</v>
      </c>
      <c r="I65" s="32" t="n">
        <f aca="false">MIN(10,ROUNDUP(F65*10,0))</f>
        <v>4</v>
      </c>
    </row>
    <row r="66" customFormat="false" ht="15.75" hidden="false" customHeight="true" outlineLevel="0" collapsed="false">
      <c r="A66" s="29" t="n">
        <v>290000</v>
      </c>
      <c r="B66" s="29" t="n">
        <v>1496</v>
      </c>
      <c r="C66" s="29" t="n">
        <f aca="false">A66*B66</f>
        <v>433840000</v>
      </c>
      <c r="D66" s="29" t="n">
        <f aca="false">SUM($B$3:B66)</f>
        <v>136573</v>
      </c>
      <c r="E66" s="29" t="n">
        <f aca="false">SUM($C$3:C66)</f>
        <v>26445303655.45</v>
      </c>
      <c r="F66" s="30" t="n">
        <f aca="false">D66/$D$222</f>
        <v>0.345415136524123</v>
      </c>
      <c r="G66" s="30" t="n">
        <f aca="false">E66/$E$222</f>
        <v>0.151124530840774</v>
      </c>
      <c r="H66" s="31" t="n">
        <f aca="false">(F66-F65)*(G66+G65)</f>
        <v>0.00113421670661346</v>
      </c>
      <c r="I66" s="32" t="n">
        <f aca="false">MIN(10,ROUNDUP(F66*10,0))</f>
        <v>4</v>
      </c>
    </row>
    <row r="67" customFormat="false" ht="15.75" hidden="false" customHeight="true" outlineLevel="0" collapsed="false">
      <c r="A67" s="29" t="n">
        <v>295000</v>
      </c>
      <c r="B67" s="29" t="n">
        <v>718</v>
      </c>
      <c r="C67" s="29" t="n">
        <f aca="false">A67*B67</f>
        <v>211810000</v>
      </c>
      <c r="D67" s="29" t="n">
        <f aca="false">SUM($B$3:B67)</f>
        <v>137291</v>
      </c>
      <c r="E67" s="29" t="n">
        <f aca="false">SUM($C$3:C67)</f>
        <v>26657113655.45</v>
      </c>
      <c r="F67" s="30" t="n">
        <f aca="false">D67/$D$222</f>
        <v>0.347231074286524</v>
      </c>
      <c r="G67" s="30" t="n">
        <f aca="false">E67/$E$222</f>
        <v>0.152334941857204</v>
      </c>
      <c r="H67" s="31" t="n">
        <f aca="false">(F67-F66)*(G67+G66)</f>
        <v>0.000551063515830393</v>
      </c>
      <c r="I67" s="32" t="n">
        <f aca="false">MIN(10,ROUNDUP(F67*10,0))</f>
        <v>4</v>
      </c>
    </row>
    <row r="68" customFormat="false" ht="15.75" hidden="false" customHeight="true" outlineLevel="0" collapsed="false">
      <c r="A68" s="29" t="n">
        <v>295185.43</v>
      </c>
      <c r="B68" s="29" t="n">
        <v>2716</v>
      </c>
      <c r="C68" s="29" t="n">
        <f aca="false">A68*B68</f>
        <v>801723627.88</v>
      </c>
      <c r="D68" s="29" t="n">
        <f aca="false">SUM($B$3:B68)</f>
        <v>140007</v>
      </c>
      <c r="E68" s="29" t="n">
        <f aca="false">SUM($C$3:C68)</f>
        <v>27458837283.33</v>
      </c>
      <c r="F68" s="30" t="n">
        <f aca="false">D68/$D$222</f>
        <v>0.354100276184406</v>
      </c>
      <c r="G68" s="30" t="n">
        <f aca="false">E68/$E$222</f>
        <v>0.156916477721034</v>
      </c>
      <c r="H68" s="31" t="n">
        <f aca="false">(F68-F67)*(G68+G67)</f>
        <v>0.00212431043828972</v>
      </c>
      <c r="I68" s="32" t="n">
        <f aca="false">MIN(10,ROUNDUP(F68*10,0))</f>
        <v>4</v>
      </c>
    </row>
    <row r="69" customFormat="false" ht="15.75" hidden="false" customHeight="true" outlineLevel="0" collapsed="false">
      <c r="A69" s="29" t="n">
        <v>297789.83</v>
      </c>
      <c r="B69" s="29" t="n">
        <v>5364</v>
      </c>
      <c r="C69" s="29" t="n">
        <f aca="false">A69*B69</f>
        <v>1597344648.12</v>
      </c>
      <c r="D69" s="29" t="n">
        <f aca="false">SUM($B$3:B69)</f>
        <v>145371</v>
      </c>
      <c r="E69" s="29" t="n">
        <f aca="false">SUM($C$3:C69)</f>
        <v>29056181931.45</v>
      </c>
      <c r="F69" s="30" t="n">
        <f aca="false">D69/$D$222</f>
        <v>0.367666697016601</v>
      </c>
      <c r="G69" s="30" t="n">
        <f aca="false">E69/$E$222</f>
        <v>0.166044675441253</v>
      </c>
      <c r="H69" s="31" t="n">
        <f aca="false">(F69-F68)*(G69+G68)</f>
        <v>0.00438142691625065</v>
      </c>
      <c r="I69" s="32" t="n">
        <f aca="false">MIN(10,ROUNDUP(F69*10,0))</f>
        <v>4</v>
      </c>
    </row>
    <row r="70" customFormat="false" ht="15.75" hidden="false" customHeight="true" outlineLevel="0" collapsed="false">
      <c r="A70" s="29" t="n">
        <v>300000</v>
      </c>
      <c r="B70" s="29" t="n">
        <v>3490</v>
      </c>
      <c r="C70" s="29" t="n">
        <f aca="false">A70*B70</f>
        <v>1047000000</v>
      </c>
      <c r="D70" s="29" t="n">
        <f aca="false">SUM($B$3:B70)</f>
        <v>148861</v>
      </c>
      <c r="E70" s="29" t="n">
        <f aca="false">SUM($C$3:C70)</f>
        <v>30103181931.45</v>
      </c>
      <c r="F70" s="30" t="n">
        <f aca="false">D70/$D$222</f>
        <v>0.376493469705707</v>
      </c>
      <c r="G70" s="30" t="n">
        <f aca="false">E70/$E$222</f>
        <v>0.172027869502921</v>
      </c>
      <c r="H70" s="31" t="n">
        <f aca="false">(F70-F69)*(G70+G69)</f>
        <v>0.00298408950664958</v>
      </c>
      <c r="I70" s="32" t="n">
        <f aca="false">MIN(10,ROUNDUP(F70*10,0))</f>
        <v>4</v>
      </c>
    </row>
    <row r="71" customFormat="false" ht="15.75" hidden="false" customHeight="true" outlineLevel="0" collapsed="false">
      <c r="A71" s="29" t="n">
        <v>300014.5</v>
      </c>
      <c r="B71" s="29" t="n">
        <v>466</v>
      </c>
      <c r="C71" s="29" t="n">
        <f aca="false">A71*B71</f>
        <v>139806757</v>
      </c>
      <c r="D71" s="29" t="n">
        <f aca="false">SUM($B$3:B71)</f>
        <v>149327</v>
      </c>
      <c r="E71" s="29" t="n">
        <f aca="false">SUM($C$3:C71)</f>
        <v>30242988688.45</v>
      </c>
      <c r="F71" s="30" t="n">
        <f aca="false">D71/$D$222</f>
        <v>0.377672058838407</v>
      </c>
      <c r="G71" s="30" t="n">
        <f aca="false">E71/$E$222</f>
        <v>0.172826810246248</v>
      </c>
      <c r="H71" s="31" t="n">
        <f aca="false">(F71-F70)*(G71+G70)</f>
        <v>0.000406441977913117</v>
      </c>
      <c r="I71" s="32" t="n">
        <f aca="false">MIN(10,ROUNDUP(F71*10,0))</f>
        <v>4</v>
      </c>
    </row>
    <row r="72" customFormat="false" ht="15.75" hidden="false" customHeight="true" outlineLevel="0" collapsed="false">
      <c r="A72" s="29" t="n">
        <v>303333.33</v>
      </c>
      <c r="B72" s="29" t="n">
        <v>468</v>
      </c>
      <c r="C72" s="29" t="n">
        <f aca="false">A72*B72</f>
        <v>141959998.44</v>
      </c>
      <c r="D72" s="29" t="n">
        <f aca="false">SUM($B$3:B72)</f>
        <v>149795</v>
      </c>
      <c r="E72" s="29" t="n">
        <f aca="false">SUM($C$3:C72)</f>
        <v>30384948686.89</v>
      </c>
      <c r="F72" s="30" t="n">
        <f aca="false">D72/$D$222</f>
        <v>0.378855706293565</v>
      </c>
      <c r="G72" s="30" t="n">
        <f aca="false">E72/$E$222</f>
        <v>0.173638055919276</v>
      </c>
      <c r="H72" s="31" t="n">
        <f aca="false">(F72-F71)*(G72+G71)</f>
        <v>0.000410092257138471</v>
      </c>
      <c r="I72" s="32" t="n">
        <f aca="false">MIN(10,ROUNDUP(F72*10,0))</f>
        <v>4</v>
      </c>
    </row>
    <row r="73" customFormat="false" ht="15.75" hidden="false" customHeight="true" outlineLevel="0" collapsed="false">
      <c r="A73" s="29" t="n">
        <v>304664.5</v>
      </c>
      <c r="B73" s="29" t="n">
        <v>2068</v>
      </c>
      <c r="C73" s="29" t="n">
        <f aca="false">A73*B73</f>
        <v>630046186</v>
      </c>
      <c r="D73" s="29" t="n">
        <f aca="false">SUM($B$3:B73)</f>
        <v>151863</v>
      </c>
      <c r="E73" s="29" t="n">
        <f aca="false">SUM($C$3:C73)</f>
        <v>31014994872.89</v>
      </c>
      <c r="F73" s="30" t="n">
        <f aca="false">D73/$D$222</f>
        <v>0.384086011715075</v>
      </c>
      <c r="G73" s="30" t="n">
        <f aca="false">E73/$E$222</f>
        <v>0.177238522584655</v>
      </c>
      <c r="H73" s="31" t="n">
        <f aca="false">(F73-F72)*(G73+G72)</f>
        <v>0.00183519167083</v>
      </c>
      <c r="I73" s="32" t="n">
        <f aca="false">MIN(10,ROUNDUP(F73*10,0))</f>
        <v>4</v>
      </c>
    </row>
    <row r="74" customFormat="false" ht="15.75" hidden="false" customHeight="true" outlineLevel="0" collapsed="false">
      <c r="A74" s="29" t="n">
        <v>315666.67</v>
      </c>
      <c r="B74" s="29" t="n">
        <v>3036</v>
      </c>
      <c r="C74" s="29" t="n">
        <f aca="false">A74*B74</f>
        <v>958364010.12</v>
      </c>
      <c r="D74" s="29" t="n">
        <f aca="false">SUM($B$3:B74)</f>
        <v>154899</v>
      </c>
      <c r="E74" s="29" t="n">
        <f aca="false">SUM($C$3:C74)</f>
        <v>31973358883.01</v>
      </c>
      <c r="F74" s="30" t="n">
        <f aca="false">D74/$D$222</f>
        <v>0.391764545206228</v>
      </c>
      <c r="G74" s="30" t="n">
        <f aca="false">E74/$E$222</f>
        <v>0.182715196753008</v>
      </c>
      <c r="H74" s="31" t="n">
        <f aca="false">(F74-F73)*(G74+G73)</f>
        <v>0.00276391668919933</v>
      </c>
      <c r="I74" s="32" t="n">
        <f aca="false">MIN(10,ROUNDUP(F74*10,0))</f>
        <v>4</v>
      </c>
    </row>
    <row r="75" customFormat="false" ht="15.75" hidden="false" customHeight="true" outlineLevel="0" collapsed="false">
      <c r="A75" s="29" t="n">
        <v>316666.67</v>
      </c>
      <c r="B75" s="29" t="n">
        <v>1869</v>
      </c>
      <c r="C75" s="29" t="n">
        <f aca="false">A75*B75</f>
        <v>591850006.23</v>
      </c>
      <c r="D75" s="29" t="n">
        <f aca="false">SUM($B$3:B75)</f>
        <v>156768</v>
      </c>
      <c r="E75" s="29" t="n">
        <f aca="false">SUM($C$3:C75)</f>
        <v>32565208889.24</v>
      </c>
      <c r="F75" s="30" t="n">
        <f aca="false">D75/$D$222</f>
        <v>0.396491547543173</v>
      </c>
      <c r="G75" s="30" t="n">
        <f aca="false">E75/$E$222</f>
        <v>0.186097387242668</v>
      </c>
      <c r="H75" s="31" t="n">
        <f aca="false">(F75-F74)*(G75+G74)</f>
        <v>0.00174337794644227</v>
      </c>
      <c r="I75" s="32" t="n">
        <f aca="false">MIN(10,ROUNDUP(F75*10,0))</f>
        <v>4</v>
      </c>
    </row>
    <row r="76" customFormat="false" ht="15.75" hidden="false" customHeight="true" outlineLevel="0" collapsed="false">
      <c r="A76" s="29" t="n">
        <v>317771.67</v>
      </c>
      <c r="B76" s="29" t="n">
        <v>1080</v>
      </c>
      <c r="C76" s="29" t="n">
        <f aca="false">A76*B76</f>
        <v>343193403.6</v>
      </c>
      <c r="D76" s="29" t="n">
        <f aca="false">SUM($B$3:B76)</f>
        <v>157848</v>
      </c>
      <c r="E76" s="29" t="n">
        <f aca="false">SUM($C$3:C76)</f>
        <v>32908402292.84</v>
      </c>
      <c r="F76" s="30" t="n">
        <f aca="false">D76/$D$222</f>
        <v>0.39922304167046</v>
      </c>
      <c r="G76" s="30" t="n">
        <f aca="false">E76/$E$222</f>
        <v>0.188058602843836</v>
      </c>
      <c r="H76" s="31" t="n">
        <f aca="false">(F76-F75)*(G76+G75)</f>
        <v>0.00102200488961077</v>
      </c>
      <c r="I76" s="32" t="n">
        <f aca="false">MIN(10,ROUNDUP(F76*10,0))</f>
        <v>4</v>
      </c>
    </row>
    <row r="77" customFormat="false" ht="15.75" hidden="false" customHeight="true" outlineLevel="0" collapsed="false">
      <c r="A77" s="29" t="n">
        <v>319600</v>
      </c>
      <c r="B77" s="29" t="n">
        <v>1505</v>
      </c>
      <c r="C77" s="29" t="n">
        <f aca="false">A77*B77</f>
        <v>480998000</v>
      </c>
      <c r="D77" s="29" t="n">
        <f aca="false">SUM($B$3:B77)</f>
        <v>159353</v>
      </c>
      <c r="E77" s="29" t="n">
        <f aca="false">SUM($C$3:C77)</f>
        <v>33389400292.84</v>
      </c>
      <c r="F77" s="30" t="n">
        <f aca="false">D77/$D$222</f>
        <v>0.40302942932006</v>
      </c>
      <c r="G77" s="30" t="n">
        <f aca="false">E77/$E$222</f>
        <v>0.190807317626333</v>
      </c>
      <c r="H77" s="31" t="n">
        <f aca="false">(F77-F76)*(G77+G76)</f>
        <v>0.00144211056053195</v>
      </c>
      <c r="I77" s="32" t="n">
        <f aca="false">MIN(10,ROUNDUP(F77*10,0))</f>
        <v>5</v>
      </c>
    </row>
    <row r="78" customFormat="false" ht="15.75" hidden="false" customHeight="true" outlineLevel="0" collapsed="false">
      <c r="A78" s="29" t="n">
        <v>320000</v>
      </c>
      <c r="B78" s="29" t="n">
        <v>380</v>
      </c>
      <c r="C78" s="29" t="n">
        <f aca="false">A78*B78</f>
        <v>121600000</v>
      </c>
      <c r="D78" s="29" t="n">
        <f aca="false">SUM($B$3:B78)</f>
        <v>159733</v>
      </c>
      <c r="E78" s="29" t="n">
        <f aca="false">SUM($C$3:C78)</f>
        <v>33511000292.84</v>
      </c>
      <c r="F78" s="30" t="n">
        <f aca="false">D78/$D$222</f>
        <v>0.403990510587069</v>
      </c>
      <c r="G78" s="30" t="n">
        <f aca="false">E78/$E$222</f>
        <v>0.191502213899397</v>
      </c>
      <c r="H78" s="31" t="n">
        <f aca="false">(F78-F77)*(G78+G77)</f>
        <v>0.000367430528948217</v>
      </c>
      <c r="I78" s="32" t="n">
        <f aca="false">MIN(10,ROUNDUP(F78*10,0))</f>
        <v>5</v>
      </c>
    </row>
    <row r="79" customFormat="false" ht="15.75" hidden="false" customHeight="true" outlineLevel="0" collapsed="false">
      <c r="A79" s="29" t="n">
        <v>320138.5</v>
      </c>
      <c r="B79" s="29" t="n">
        <v>1348</v>
      </c>
      <c r="C79" s="29" t="n">
        <f aca="false">A79*B79</f>
        <v>431546698</v>
      </c>
      <c r="D79" s="29" t="n">
        <f aca="false">SUM($B$3:B79)</f>
        <v>161081</v>
      </c>
      <c r="E79" s="29" t="n">
        <f aca="false">SUM($C$3:C79)</f>
        <v>33942546990.84</v>
      </c>
      <c r="F79" s="30" t="n">
        <f aca="false">D79/$D$222</f>
        <v>0.407399819923721</v>
      </c>
      <c r="G79" s="30" t="n">
        <f aca="false">E79/$E$222</f>
        <v>0.193968333900167</v>
      </c>
      <c r="H79" s="31" t="n">
        <f aca="false">(F79-F78)*(G79+G78)</f>
        <v>0.00131418833761725</v>
      </c>
      <c r="I79" s="32" t="n">
        <f aca="false">MIN(10,ROUNDUP(F79*10,0))</f>
        <v>5</v>
      </c>
    </row>
    <row r="80" customFormat="false" ht="15.75" hidden="false" customHeight="true" outlineLevel="0" collapsed="false">
      <c r="A80" s="29" t="n">
        <v>330666.67</v>
      </c>
      <c r="B80" s="29" t="n">
        <v>765</v>
      </c>
      <c r="C80" s="29" t="n">
        <f aca="false">A80*B80</f>
        <v>252960002.55</v>
      </c>
      <c r="D80" s="29" t="n">
        <f aca="false">SUM($B$3:B80)</f>
        <v>161846</v>
      </c>
      <c r="E80" s="29" t="n">
        <f aca="false">SUM($C$3:C80)</f>
        <v>34195506993.39</v>
      </c>
      <c r="F80" s="30" t="n">
        <f aca="false">D80/$D$222</f>
        <v>0.409334628263883</v>
      </c>
      <c r="G80" s="30" t="n">
        <f aca="false">E80/$E$222</f>
        <v>0.195413901030154</v>
      </c>
      <c r="H80" s="31" t="n">
        <f aca="false">(F80-F79)*(G80+G79)</f>
        <v>0.000753379995654134</v>
      </c>
      <c r="I80" s="32" t="n">
        <f aca="false">MIN(10,ROUNDUP(F80*10,0))</f>
        <v>5</v>
      </c>
    </row>
    <row r="81" customFormat="false" ht="15.75" hidden="false" customHeight="true" outlineLevel="0" collapsed="false">
      <c r="A81" s="29" t="n">
        <v>332157.5</v>
      </c>
      <c r="B81" s="29" t="n">
        <v>704</v>
      </c>
      <c r="C81" s="29" t="n">
        <f aca="false">A81*B81</f>
        <v>233838880</v>
      </c>
      <c r="D81" s="29" t="n">
        <f aca="false">SUM($B$3:B81)</f>
        <v>162550</v>
      </c>
      <c r="E81" s="29" t="n">
        <f aca="false">SUM($C$3:C81)</f>
        <v>34429345873.39</v>
      </c>
      <c r="F81" s="30" t="n">
        <f aca="false">D81/$D$222</f>
        <v>0.411115157769078</v>
      </c>
      <c r="G81" s="30" t="n">
        <f aca="false">E81/$E$222</f>
        <v>0.196750198449642</v>
      </c>
      <c r="H81" s="31" t="n">
        <f aca="false">(F81-F80)*(G81+G80)</f>
        <v>0.000698259750001971</v>
      </c>
      <c r="I81" s="32" t="n">
        <f aca="false">MIN(10,ROUNDUP(F81*10,0))</f>
        <v>5</v>
      </c>
    </row>
    <row r="82" customFormat="false" ht="15.75" hidden="false" customHeight="true" outlineLevel="0" collapsed="false">
      <c r="A82" s="29" t="n">
        <v>332666.67</v>
      </c>
      <c r="B82" s="29" t="n">
        <v>969</v>
      </c>
      <c r="C82" s="29" t="n">
        <f aca="false">A82*B82</f>
        <v>322354003.23</v>
      </c>
      <c r="D82" s="29" t="n">
        <f aca="false">SUM($B$3:B82)</f>
        <v>163519</v>
      </c>
      <c r="E82" s="29" t="n">
        <f aca="false">SUM($C$3:C82)</f>
        <v>34751699876.62</v>
      </c>
      <c r="F82" s="30" t="n">
        <f aca="false">D82/$D$222</f>
        <v>0.413565914999949</v>
      </c>
      <c r="G82" s="30" t="n">
        <f aca="false">E82/$E$222</f>
        <v>0.198592325056977</v>
      </c>
      <c r="H82" s="31" t="n">
        <f aca="false">(F82-F81)*(G82+G81)</f>
        <v>0.000968888548155013</v>
      </c>
      <c r="I82" s="32" t="n">
        <f aca="false">MIN(10,ROUNDUP(F82*10,0))</f>
        <v>5</v>
      </c>
    </row>
    <row r="83" customFormat="false" ht="15.75" hidden="false" customHeight="true" outlineLevel="0" collapsed="false">
      <c r="A83" s="29" t="n">
        <v>333333.33</v>
      </c>
      <c r="B83" s="29" t="n">
        <v>1479</v>
      </c>
      <c r="C83" s="29" t="n">
        <f aca="false">A83*B83</f>
        <v>492999995.07</v>
      </c>
      <c r="D83" s="29" t="n">
        <f aca="false">SUM($B$3:B83)</f>
        <v>164998</v>
      </c>
      <c r="E83" s="29" t="n">
        <f aca="false">SUM($C$3:C83)</f>
        <v>35244699871.69</v>
      </c>
      <c r="F83" s="30" t="n">
        <f aca="false">D83/$D$222</f>
        <v>0.417306544457596</v>
      </c>
      <c r="G83" s="30" t="n">
        <f aca="false">E83/$E$222</f>
        <v>0.201409626530621</v>
      </c>
      <c r="H83" s="31" t="n">
        <f aca="false">(F83-F82)*(G83+G82)</f>
        <v>0.00149625908322472</v>
      </c>
      <c r="I83" s="32" t="n">
        <f aca="false">MIN(10,ROUNDUP(F83*10,0))</f>
        <v>5</v>
      </c>
    </row>
    <row r="84" customFormat="false" ht="15.75" hidden="false" customHeight="true" outlineLevel="0" collapsed="false">
      <c r="A84" s="29" t="n">
        <v>341500.5</v>
      </c>
      <c r="B84" s="29" t="n">
        <v>2016</v>
      </c>
      <c r="C84" s="29" t="n">
        <f aca="false">A84*B84</f>
        <v>688465008</v>
      </c>
      <c r="D84" s="29" t="n">
        <f aca="false">SUM($B$3:B84)</f>
        <v>167014</v>
      </c>
      <c r="E84" s="29" t="n">
        <f aca="false">SUM($C$3:C84)</f>
        <v>35933164879.69</v>
      </c>
      <c r="F84" s="30" t="n">
        <f aca="false">D84/$D$222</f>
        <v>0.4224053334952</v>
      </c>
      <c r="G84" s="30" t="n">
        <f aca="false">E84/$E$222</f>
        <v>0.205343933834854</v>
      </c>
      <c r="H84" s="31" t="n">
        <f aca="false">(F84-F83)*(G84+G83)</f>
        <v>0.00207395059459771</v>
      </c>
      <c r="I84" s="32" t="n">
        <f aca="false">MIN(10,ROUNDUP(F84*10,0))</f>
        <v>5</v>
      </c>
    </row>
    <row r="85" customFormat="false" ht="15.75" hidden="false" customHeight="true" outlineLevel="0" collapsed="false">
      <c r="A85" s="29" t="n">
        <v>344666.67</v>
      </c>
      <c r="B85" s="29" t="n">
        <v>3132</v>
      </c>
      <c r="C85" s="29" t="n">
        <f aca="false">A85*B85</f>
        <v>1079496010.44</v>
      </c>
      <c r="D85" s="29" t="n">
        <f aca="false">SUM($B$3:B85)</f>
        <v>170146</v>
      </c>
      <c r="E85" s="29" t="n">
        <f aca="false">SUM($C$3:C85)</f>
        <v>37012660890.13</v>
      </c>
      <c r="F85" s="30" t="n">
        <f aca="false">D85/$D$222</f>
        <v>0.430326666464334</v>
      </c>
      <c r="G85" s="30" t="n">
        <f aca="false">E85/$E$222</f>
        <v>0.211512829841787</v>
      </c>
      <c r="H85" s="31" t="n">
        <f aca="false">(F85-F84)*(G85+G84)</f>
        <v>0.00330206122551832</v>
      </c>
      <c r="I85" s="32" t="n">
        <f aca="false">MIN(10,ROUNDUP(F85*10,0))</f>
        <v>5</v>
      </c>
    </row>
    <row r="86" customFormat="false" ht="15.75" hidden="false" customHeight="true" outlineLevel="0" collapsed="false">
      <c r="A86" s="29" t="n">
        <v>345000</v>
      </c>
      <c r="B86" s="29" t="n">
        <v>3934</v>
      </c>
      <c r="C86" s="29" t="n">
        <f aca="false">A86*B86</f>
        <v>1357230000</v>
      </c>
      <c r="D86" s="29" t="n">
        <f aca="false">SUM($B$3:B86)</f>
        <v>174080</v>
      </c>
      <c r="E86" s="29" t="n">
        <f aca="false">SUM($C$3:C86)</f>
        <v>38369890890.13</v>
      </c>
      <c r="F86" s="30" t="n">
        <f aca="false">D86/$D$222</f>
        <v>0.440276386739102</v>
      </c>
      <c r="G86" s="30" t="n">
        <f aca="false">E86/$E$222</f>
        <v>0.219268866590896</v>
      </c>
      <c r="H86" s="31" t="n">
        <f aca="false">(F86-F85)*(G86+G85)</f>
        <v>0.00428615737899526</v>
      </c>
      <c r="I86" s="32" t="n">
        <f aca="false">MIN(10,ROUNDUP(F86*10,0))</f>
        <v>5</v>
      </c>
    </row>
    <row r="87" customFormat="false" ht="15.75" hidden="false" customHeight="true" outlineLevel="0" collapsed="false">
      <c r="A87" s="29" t="n">
        <v>350000</v>
      </c>
      <c r="B87" s="29" t="n">
        <v>4743</v>
      </c>
      <c r="C87" s="29" t="n">
        <f aca="false">A87*B87</f>
        <v>1660050000</v>
      </c>
      <c r="D87" s="29" t="n">
        <f aca="false">SUM($B$3:B87)</f>
        <v>178823</v>
      </c>
      <c r="E87" s="29" t="n">
        <f aca="false">SUM($C$3:C87)</f>
        <v>40029940890.13</v>
      </c>
      <c r="F87" s="30" t="n">
        <f aca="false">D87/$D$222</f>
        <v>0.452272198448107</v>
      </c>
      <c r="G87" s="30" t="n">
        <f aca="false">E87/$E$222</f>
        <v>0.228755400785807</v>
      </c>
      <c r="H87" s="31" t="n">
        <f aca="false">(F87-F86)*(G87+G86)</f>
        <v>0.00537441475251576</v>
      </c>
      <c r="I87" s="32" t="n">
        <f aca="false">MIN(10,ROUNDUP(F87*10,0))</f>
        <v>5</v>
      </c>
    </row>
    <row r="88" customFormat="false" ht="15.75" hidden="false" customHeight="true" outlineLevel="0" collapsed="false">
      <c r="A88" s="29" t="n">
        <v>358000</v>
      </c>
      <c r="B88" s="29" t="n">
        <v>2940</v>
      </c>
      <c r="C88" s="29" t="n">
        <f aca="false">A88*B88</f>
        <v>1052520000</v>
      </c>
      <c r="D88" s="29" t="n">
        <f aca="false">SUM($B$3:B88)</f>
        <v>181763</v>
      </c>
      <c r="E88" s="29" t="n">
        <f aca="false">SUM($C$3:C88)</f>
        <v>41082460890.13</v>
      </c>
      <c r="F88" s="30" t="n">
        <f aca="false">D88/$D$222</f>
        <v>0.459707932461279</v>
      </c>
      <c r="G88" s="30" t="n">
        <f aca="false">E88/$E$222</f>
        <v>0.234770139480923</v>
      </c>
      <c r="H88" s="31" t="n">
        <f aca="false">(F88-F87)*(G88+G87)</f>
        <v>0.0034466526257352</v>
      </c>
      <c r="I88" s="32" t="n">
        <f aca="false">MIN(10,ROUNDUP(F88*10,0))</f>
        <v>5</v>
      </c>
    </row>
    <row r="89" customFormat="false" ht="15.75" hidden="false" customHeight="true" outlineLevel="0" collapsed="false">
      <c r="A89" s="29" t="n">
        <v>360000</v>
      </c>
      <c r="B89" s="29" t="n">
        <v>3620</v>
      </c>
      <c r="C89" s="29" t="n">
        <f aca="false">A89*B89</f>
        <v>1303200000</v>
      </c>
      <c r="D89" s="29" t="n">
        <f aca="false">SUM($B$3:B89)</f>
        <v>185383</v>
      </c>
      <c r="E89" s="29" t="n">
        <f aca="false">SUM($C$3:C89)</f>
        <v>42385660890.13</v>
      </c>
      <c r="F89" s="30" t="n">
        <f aca="false">D89/$D$222</f>
        <v>0.46886349611015</v>
      </c>
      <c r="G89" s="30" t="n">
        <f aca="false">E89/$E$222</f>
        <v>0.242217415986334</v>
      </c>
      <c r="H89" s="31" t="n">
        <f aca="false">(F89-F88)*(G89+G88)</f>
        <v>0.00436708992380009</v>
      </c>
      <c r="I89" s="32" t="n">
        <f aca="false">MIN(10,ROUNDUP(F89*10,0))</f>
        <v>5</v>
      </c>
    </row>
    <row r="90" customFormat="false" ht="15.75" hidden="false" customHeight="true" outlineLevel="0" collapsed="false">
      <c r="A90" s="29" t="n">
        <v>362500</v>
      </c>
      <c r="B90" s="29" t="n">
        <v>3336</v>
      </c>
      <c r="C90" s="29" t="n">
        <f aca="false">A90*B90</f>
        <v>1209300000</v>
      </c>
      <c r="D90" s="29" t="n">
        <f aca="false">SUM($B$3:B90)</f>
        <v>188719</v>
      </c>
      <c r="E90" s="29" t="n">
        <f aca="false">SUM($C$3:C90)</f>
        <v>43594960890.13</v>
      </c>
      <c r="F90" s="30" t="n">
        <f aca="false">D90/$D$222</f>
        <v>0.477300777969994</v>
      </c>
      <c r="G90" s="30" t="n">
        <f aca="false">E90/$E$222</f>
        <v>0.249128090846673</v>
      </c>
      <c r="H90" s="31" t="n">
        <f aca="false">(F90-F89)*(G90+G89)</f>
        <v>0.00414562053171799</v>
      </c>
      <c r="I90" s="32" t="n">
        <f aca="false">MIN(10,ROUNDUP(F90*10,0))</f>
        <v>5</v>
      </c>
    </row>
    <row r="91" customFormat="false" ht="15.75" hidden="false" customHeight="true" outlineLevel="0" collapsed="false">
      <c r="A91" s="29" t="n">
        <v>365259.6</v>
      </c>
      <c r="B91" s="29" t="n">
        <v>895</v>
      </c>
      <c r="C91" s="29" t="n">
        <f aca="false">A91*B91</f>
        <v>326907342</v>
      </c>
      <c r="D91" s="29" t="n">
        <f aca="false">SUM($B$3:B91)</f>
        <v>189614</v>
      </c>
      <c r="E91" s="29" t="n">
        <f aca="false">SUM($C$3:C91)</f>
        <v>43921868232.13</v>
      </c>
      <c r="F91" s="30" t="n">
        <f aca="false">D91/$D$222</f>
        <v>0.479564377269922</v>
      </c>
      <c r="G91" s="30" t="n">
        <f aca="false">E91/$E$222</f>
        <v>0.250996237997934</v>
      </c>
      <c r="H91" s="31" t="n">
        <f aca="false">(F91-F90)*(G91+G90)</f>
        <v>0.00113208108064969</v>
      </c>
      <c r="I91" s="32" t="n">
        <f aca="false">MIN(10,ROUNDUP(F91*10,0))</f>
        <v>5</v>
      </c>
    </row>
    <row r="92" customFormat="false" ht="15.75" hidden="false" customHeight="true" outlineLevel="0" collapsed="false">
      <c r="A92" s="29" t="n">
        <v>366666.67</v>
      </c>
      <c r="B92" s="29" t="n">
        <v>801</v>
      </c>
      <c r="C92" s="29" t="n">
        <f aca="false">A92*B92</f>
        <v>293700002.67</v>
      </c>
      <c r="D92" s="29" t="n">
        <f aca="false">SUM($B$3:B92)</f>
        <v>190415</v>
      </c>
      <c r="E92" s="29" t="n">
        <f aca="false">SUM($C$3:C92)</f>
        <v>44215568234.8</v>
      </c>
      <c r="F92" s="30" t="n">
        <f aca="false">D92/$D$222</f>
        <v>0.481590235414327</v>
      </c>
      <c r="G92" s="30" t="n">
        <f aca="false">E92/$E$222</f>
        <v>0.252674618238514</v>
      </c>
      <c r="H92" s="31" t="n">
        <f aca="false">(F92-F91)*(G92+G91)</f>
        <v>0.00102036570620606</v>
      </c>
      <c r="I92" s="32" t="n">
        <f aca="false">MIN(10,ROUNDUP(F92*10,0))</f>
        <v>5</v>
      </c>
    </row>
    <row r="93" customFormat="false" ht="15.75" hidden="false" customHeight="true" outlineLevel="0" collapsed="false">
      <c r="A93" s="29" t="n">
        <v>367333.33</v>
      </c>
      <c r="B93" s="29" t="n">
        <v>1764</v>
      </c>
      <c r="C93" s="29" t="n">
        <f aca="false">A93*B93</f>
        <v>647975994.12</v>
      </c>
      <c r="D93" s="29" t="n">
        <f aca="false">SUM($B$3:B93)</f>
        <v>192179</v>
      </c>
      <c r="E93" s="29" t="n">
        <f aca="false">SUM($C$3:C93)</f>
        <v>44863544228.92</v>
      </c>
      <c r="F93" s="30" t="n">
        <f aca="false">D93/$D$222</f>
        <v>0.48605167582223</v>
      </c>
      <c r="G93" s="30" t="n">
        <f aca="false">E93/$E$222</f>
        <v>0.256377546720006</v>
      </c>
      <c r="H93" s="31" t="n">
        <f aca="false">(F93-F92)*(G93+G92)</f>
        <v>0.00227110589847648</v>
      </c>
      <c r="I93" s="32" t="n">
        <f aca="false">MIN(10,ROUNDUP(F93*10,0))</f>
        <v>5</v>
      </c>
    </row>
    <row r="94" customFormat="false" ht="15.75" hidden="false" customHeight="true" outlineLevel="0" collapsed="false">
      <c r="A94" s="29" t="n">
        <v>367500</v>
      </c>
      <c r="B94" s="29" t="n">
        <v>1792</v>
      </c>
      <c r="C94" s="29" t="n">
        <f aca="false">A94*B94</f>
        <v>658560000</v>
      </c>
      <c r="D94" s="29" t="n">
        <f aca="false">SUM($B$3:B94)</f>
        <v>193971</v>
      </c>
      <c r="E94" s="29" t="n">
        <f aca="false">SUM($C$3:C94)</f>
        <v>45522104228.92</v>
      </c>
      <c r="F94" s="30" t="n">
        <f aca="false">D94/$D$222</f>
        <v>0.490583932744545</v>
      </c>
      <c r="G94" s="30" t="n">
        <f aca="false">E94/$E$222</f>
        <v>0.260140958640972</v>
      </c>
      <c r="H94" s="31" t="n">
        <f aca="false">(F94-F93)*(G94+G93)</f>
        <v>0.00234099457142572</v>
      </c>
      <c r="I94" s="32" t="n">
        <f aca="false">MIN(10,ROUNDUP(F94*10,0))</f>
        <v>5</v>
      </c>
    </row>
    <row r="95" customFormat="false" ht="15.75" hidden="false" customHeight="true" outlineLevel="0" collapsed="false">
      <c r="A95" s="29" t="n">
        <v>370000</v>
      </c>
      <c r="B95" s="29" t="n">
        <v>492</v>
      </c>
      <c r="C95" s="29" t="n">
        <f aca="false">A95*B95</f>
        <v>182040000</v>
      </c>
      <c r="D95" s="29" t="n">
        <f aca="false">SUM($B$3:B95)</f>
        <v>194463</v>
      </c>
      <c r="E95" s="29" t="n">
        <f aca="false">SUM($C$3:C95)</f>
        <v>45704144228.92</v>
      </c>
      <c r="F95" s="30" t="n">
        <f aca="false">D95/$D$222</f>
        <v>0.491828280069198</v>
      </c>
      <c r="G95" s="30" t="n">
        <f aca="false">E95/$E$222</f>
        <v>0.261181245791866</v>
      </c>
      <c r="H95" s="31" t="n">
        <f aca="false">(F95-F94)*(G95+G94)</f>
        <v>0.000648705890368354</v>
      </c>
      <c r="I95" s="32" t="n">
        <f aca="false">MIN(10,ROUNDUP(F95*10,0))</f>
        <v>5</v>
      </c>
    </row>
    <row r="96" customFormat="false" ht="15.75" hidden="false" customHeight="true" outlineLevel="0" collapsed="false">
      <c r="A96" s="29" t="n">
        <v>375000</v>
      </c>
      <c r="B96" s="29" t="n">
        <v>3424</v>
      </c>
      <c r="C96" s="29" t="n">
        <f aca="false">A96*B96</f>
        <v>1284000000</v>
      </c>
      <c r="D96" s="29" t="n">
        <f aca="false">SUM($B$3:B96)</f>
        <v>197887</v>
      </c>
      <c r="E96" s="29" t="n">
        <f aca="false">SUM($C$3:C96)</f>
        <v>46988144228.92</v>
      </c>
      <c r="F96" s="30" t="n">
        <f aca="false">D96/$D$222</f>
        <v>0.500488128117191</v>
      </c>
      <c r="G96" s="30" t="n">
        <f aca="false">E96/$E$222</f>
        <v>0.268518801833109</v>
      </c>
      <c r="H96" s="31" t="n">
        <f aca="false">(F96-F95)*(G96+G95)</f>
        <v>0.00458712192344713</v>
      </c>
      <c r="I96" s="32" t="n">
        <f aca="false">MIN(10,ROUNDUP(F96*10,0))</f>
        <v>6</v>
      </c>
    </row>
    <row r="97" customFormat="false" ht="15.75" hidden="false" customHeight="true" outlineLevel="0" collapsed="false">
      <c r="A97" s="29" t="n">
        <v>376500</v>
      </c>
      <c r="B97" s="29" t="n">
        <v>904</v>
      </c>
      <c r="C97" s="29" t="n">
        <f aca="false">A97*B97</f>
        <v>340356000</v>
      </c>
      <c r="D97" s="29" t="n">
        <f aca="false">SUM($B$3:B97)</f>
        <v>198791</v>
      </c>
      <c r="E97" s="29" t="n">
        <f aca="false">SUM($C$3:C97)</f>
        <v>47328500228.92</v>
      </c>
      <c r="F97" s="30" t="n">
        <f aca="false">D97/$D$222</f>
        <v>0.50277448986818</v>
      </c>
      <c r="G97" s="30" t="n">
        <f aca="false">E97/$E$222</f>
        <v>0.27046380278636</v>
      </c>
      <c r="H97" s="31" t="n">
        <f aca="false">(F97-F96)*(G97+G96)</f>
        <v>0.0012323092116503</v>
      </c>
      <c r="I97" s="32" t="n">
        <f aca="false">MIN(10,ROUNDUP(F97*10,0))</f>
        <v>6</v>
      </c>
    </row>
    <row r="98" customFormat="false" ht="15.75" hidden="false" customHeight="true" outlineLevel="0" collapsed="false">
      <c r="A98" s="29" t="n">
        <v>380000</v>
      </c>
      <c r="B98" s="29" t="n">
        <v>5350</v>
      </c>
      <c r="C98" s="29" t="n">
        <f aca="false">A98*B98</f>
        <v>2033000000</v>
      </c>
      <c r="D98" s="29" t="n">
        <f aca="false">SUM($B$3:B98)</f>
        <v>204141</v>
      </c>
      <c r="E98" s="29" t="n">
        <f aca="false">SUM($C$3:C98)</f>
        <v>49361500228.92</v>
      </c>
      <c r="F98" s="30" t="n">
        <f aca="false">D98/$D$222</f>
        <v>0.51630550244317</v>
      </c>
      <c r="G98" s="30" t="n">
        <f aca="false">E98/$E$222</f>
        <v>0.282081599851661</v>
      </c>
      <c r="H98" s="31" t="n">
        <f aca="false">(F98-F97)*(G98+G97)</f>
        <v>0.00747649879134779</v>
      </c>
      <c r="I98" s="32" t="n">
        <f aca="false">MIN(10,ROUNDUP(F98*10,0))</f>
        <v>6</v>
      </c>
    </row>
    <row r="99" customFormat="false" ht="15.75" hidden="false" customHeight="true" outlineLevel="0" collapsed="false">
      <c r="A99" s="29" t="n">
        <v>380500</v>
      </c>
      <c r="B99" s="29" t="n">
        <v>780</v>
      </c>
      <c r="C99" s="29" t="n">
        <f aca="false">A99*B99</f>
        <v>296790000</v>
      </c>
      <c r="D99" s="29" t="n">
        <f aca="false">SUM($B$3:B99)</f>
        <v>204921</v>
      </c>
      <c r="E99" s="29" t="n">
        <f aca="false">SUM($C$3:C99)</f>
        <v>49658290228.92</v>
      </c>
      <c r="F99" s="30" t="n">
        <f aca="false">D99/$D$222</f>
        <v>0.518278248201766</v>
      </c>
      <c r="G99" s="30" t="n">
        <f aca="false">E99/$E$222</f>
        <v>0.283777638214185</v>
      </c>
      <c r="H99" s="31" t="n">
        <f aca="false">(F99-F98)*(G99+G98)</f>
        <v>0.00111629641185712</v>
      </c>
      <c r="I99" s="32" t="n">
        <f aca="false">MIN(10,ROUNDUP(F99*10,0))</f>
        <v>6</v>
      </c>
    </row>
    <row r="100" customFormat="false" ht="15.75" hidden="false" customHeight="true" outlineLevel="0" collapsed="false">
      <c r="A100" s="29" t="n">
        <v>383333.33</v>
      </c>
      <c r="B100" s="29" t="n">
        <v>1704</v>
      </c>
      <c r="C100" s="29" t="n">
        <f aca="false">A100*B100</f>
        <v>653199994.32</v>
      </c>
      <c r="D100" s="29" t="n">
        <f aca="false">SUM($B$3:B100)</f>
        <v>206625</v>
      </c>
      <c r="E100" s="29" t="n">
        <f aca="false">SUM($C$3:C100)</f>
        <v>50311490223.24</v>
      </c>
      <c r="F100" s="30" t="n">
        <f aca="false">D100/$D$222</f>
        <v>0.522587938935931</v>
      </c>
      <c r="G100" s="30" t="n">
        <f aca="false">E100/$E$222</f>
        <v>0.287510419806445</v>
      </c>
      <c r="H100" s="31" t="n">
        <f aca="false">(F100-F99)*(G100+G99)</f>
        <v>0.00246207485019055</v>
      </c>
      <c r="I100" s="32" t="n">
        <f aca="false">MIN(10,ROUNDUP(F100*10,0))</f>
        <v>6</v>
      </c>
    </row>
    <row r="101" customFormat="false" ht="15.75" hidden="false" customHeight="true" outlineLevel="0" collapsed="false">
      <c r="A101" s="29" t="n">
        <v>390000</v>
      </c>
      <c r="B101" s="29" t="n">
        <v>2946</v>
      </c>
      <c r="C101" s="29" t="n">
        <f aca="false">A101*B101</f>
        <v>1148940000</v>
      </c>
      <c r="D101" s="29" t="n">
        <f aca="false">SUM($B$3:B101)</f>
        <v>209571</v>
      </c>
      <c r="E101" s="29" t="n">
        <f aca="false">SUM($C$3:C101)</f>
        <v>51460430223.24</v>
      </c>
      <c r="F101" s="30" t="n">
        <f aca="false">D101/$D$222</f>
        <v>0.530038847916477</v>
      </c>
      <c r="G101" s="30" t="n">
        <f aca="false">E101/$E$222</f>
        <v>0.294076160957556</v>
      </c>
      <c r="H101" s="31" t="n">
        <f aca="false">(F101-F100)*(G101+G100)</f>
        <v>0.00433334867757935</v>
      </c>
      <c r="I101" s="32" t="n">
        <f aca="false">MIN(10,ROUNDUP(F101*10,0))</f>
        <v>6</v>
      </c>
    </row>
    <row r="102" customFormat="false" ht="15.75" hidden="false" customHeight="true" outlineLevel="0" collapsed="false">
      <c r="A102" s="29" t="n">
        <v>390277</v>
      </c>
      <c r="B102" s="29" t="n">
        <v>944</v>
      </c>
      <c r="C102" s="29" t="n">
        <f aca="false">A102*B102</f>
        <v>368421488</v>
      </c>
      <c r="D102" s="29" t="n">
        <f aca="false">SUM($B$3:B102)</f>
        <v>210515</v>
      </c>
      <c r="E102" s="29" t="n">
        <f aca="false">SUM($C$3:C102)</f>
        <v>51828851711.24</v>
      </c>
      <c r="F102" s="30" t="n">
        <f aca="false">D102/$D$222</f>
        <v>0.532426376116625</v>
      </c>
      <c r="G102" s="30" t="n">
        <f aca="false">E102/$E$222</f>
        <v>0.296181545159268</v>
      </c>
      <c r="H102" s="31" t="n">
        <f aca="false">(F102-F101)*(G102+G101)</f>
        <v>0.00140925691870845</v>
      </c>
      <c r="I102" s="32" t="n">
        <f aca="false">MIN(10,ROUNDUP(F102*10,0))</f>
        <v>6</v>
      </c>
    </row>
    <row r="103" customFormat="false" ht="15.75" hidden="false" customHeight="true" outlineLevel="0" collapsed="false">
      <c r="A103" s="29" t="n">
        <v>395138.5</v>
      </c>
      <c r="B103" s="29" t="n">
        <v>418</v>
      </c>
      <c r="C103" s="29" t="n">
        <f aca="false">A103*B103</f>
        <v>165167893</v>
      </c>
      <c r="D103" s="29" t="n">
        <f aca="false">SUM($B$3:B103)</f>
        <v>210933</v>
      </c>
      <c r="E103" s="29" t="n">
        <f aca="false">SUM($C$3:C103)</f>
        <v>51994019604.24</v>
      </c>
      <c r="F103" s="30" t="n">
        <f aca="false">D103/$D$222</f>
        <v>0.533483565510334</v>
      </c>
      <c r="G103" s="30" t="n">
        <f aca="false">E103/$E$222</f>
        <v>0.297125414840811</v>
      </c>
      <c r="H103" s="31" t="n">
        <f aca="false">(F103-F102)*(G103+G102)</f>
        <v>0.000627237825326091</v>
      </c>
      <c r="I103" s="32" t="n">
        <f aca="false">MIN(10,ROUNDUP(F103*10,0))</f>
        <v>6</v>
      </c>
    </row>
    <row r="104" customFormat="false" ht="15.75" hidden="false" customHeight="true" outlineLevel="0" collapsed="false">
      <c r="A104" s="29" t="n">
        <v>396000</v>
      </c>
      <c r="B104" s="29" t="n">
        <v>1688</v>
      </c>
      <c r="C104" s="29" t="n">
        <f aca="false">A104*B104</f>
        <v>668448000</v>
      </c>
      <c r="D104" s="29" t="n">
        <f aca="false">SUM($B$3:B104)</f>
        <v>212621</v>
      </c>
      <c r="E104" s="29" t="n">
        <f aca="false">SUM($C$3:C104)</f>
        <v>52662467604.24</v>
      </c>
      <c r="F104" s="30" t="n">
        <f aca="false">D104/$D$222</f>
        <v>0.537752789664836</v>
      </c>
      <c r="G104" s="30" t="n">
        <f aca="false">E104/$E$222</f>
        <v>0.300945332800824</v>
      </c>
      <c r="H104" s="31" t="n">
        <f aca="false">(F104-F103)*(G104+G103)</f>
        <v>0.00255329808193236</v>
      </c>
      <c r="I104" s="32" t="n">
        <f aca="false">MIN(10,ROUNDUP(F104*10,0))</f>
        <v>6</v>
      </c>
    </row>
    <row r="105" customFormat="false" ht="15.75" hidden="false" customHeight="true" outlineLevel="0" collapsed="false">
      <c r="A105" s="29" t="n">
        <v>396298</v>
      </c>
      <c r="B105" s="29" t="n">
        <v>1055</v>
      </c>
      <c r="C105" s="29" t="n">
        <f aca="false">A105*B105</f>
        <v>418094390</v>
      </c>
      <c r="D105" s="29" t="n">
        <f aca="false">SUM($B$3:B105)</f>
        <v>213676</v>
      </c>
      <c r="E105" s="29" t="n">
        <f aca="false">SUM($C$3:C105)</f>
        <v>53080561994.24</v>
      </c>
      <c r="F105" s="30" t="n">
        <f aca="false">D105/$D$222</f>
        <v>0.540421054761399</v>
      </c>
      <c r="G105" s="30" t="n">
        <f aca="false">E105/$E$222</f>
        <v>0.303334578141287</v>
      </c>
      <c r="H105" s="31" t="n">
        <f aca="false">(F105-F104)*(G105+G104)</f>
        <v>0.00161237899492126</v>
      </c>
      <c r="I105" s="32" t="n">
        <f aca="false">MIN(10,ROUNDUP(F105*10,0))</f>
        <v>6</v>
      </c>
    </row>
    <row r="106" customFormat="false" ht="15.75" hidden="false" customHeight="true" outlineLevel="0" collapsed="false">
      <c r="A106" s="29" t="n">
        <v>396666.67</v>
      </c>
      <c r="B106" s="29" t="n">
        <v>777</v>
      </c>
      <c r="C106" s="29" t="n">
        <f aca="false">A106*B106</f>
        <v>308210002.59</v>
      </c>
      <c r="D106" s="29" t="n">
        <f aca="false">SUM($B$3:B106)</f>
        <v>214453</v>
      </c>
      <c r="E106" s="29" t="n">
        <f aca="false">SUM($C$3:C106)</f>
        <v>53388771996.83</v>
      </c>
      <c r="F106" s="30" t="n">
        <f aca="false">D106/$D$222</f>
        <v>0.542386213036309</v>
      </c>
      <c r="G106" s="30" t="n">
        <f aca="false">E106/$E$222</f>
        <v>0.305095877336362</v>
      </c>
      <c r="H106" s="31" t="n">
        <f aca="false">(F106-F105)*(G106+G105)</f>
        <v>0.001195662144289</v>
      </c>
      <c r="I106" s="32" t="n">
        <f aca="false">MIN(10,ROUNDUP(F106*10,0))</f>
        <v>6</v>
      </c>
    </row>
    <row r="107" customFormat="false" ht="15.75" hidden="false" customHeight="true" outlineLevel="0" collapsed="false">
      <c r="A107" s="29" t="n">
        <v>400000</v>
      </c>
      <c r="B107" s="29" t="n">
        <v>5577</v>
      </c>
      <c r="C107" s="29" t="n">
        <f aca="false">A107*B107</f>
        <v>2230800000</v>
      </c>
      <c r="D107" s="29" t="n">
        <f aca="false">SUM($B$3:B107)</f>
        <v>220030</v>
      </c>
      <c r="E107" s="29" t="n">
        <f aca="false">SUM($C$3:C107)</f>
        <v>55619571996.83</v>
      </c>
      <c r="F107" s="30" t="n">
        <f aca="false">D107/$D$222</f>
        <v>0.556491345210274</v>
      </c>
      <c r="G107" s="30" t="n">
        <f aca="false">E107/$E$222</f>
        <v>0.317844023766895</v>
      </c>
      <c r="H107" s="31" t="n">
        <f aca="false">(F107-F106)*(G107+G106)</f>
        <v>0.00878664964149863</v>
      </c>
      <c r="I107" s="32" t="n">
        <f aca="false">MIN(10,ROUNDUP(F107*10,0))</f>
        <v>6</v>
      </c>
    </row>
    <row r="108" customFormat="false" ht="15.75" hidden="false" customHeight="true" outlineLevel="0" collapsed="false">
      <c r="A108" s="29" t="n">
        <v>406653</v>
      </c>
      <c r="B108" s="29" t="n">
        <v>498</v>
      </c>
      <c r="C108" s="29" t="n">
        <f aca="false">A108*B108</f>
        <v>202513194</v>
      </c>
      <c r="D108" s="29" t="n">
        <f aca="false">SUM($B$3:B108)</f>
        <v>220528</v>
      </c>
      <c r="E108" s="29" t="n">
        <f aca="false">SUM($C$3:C108)</f>
        <v>55822085190.83</v>
      </c>
      <c r="F108" s="30" t="n">
        <f aca="false">D108/$D$222</f>
        <v>0.557750867502302</v>
      </c>
      <c r="G108" s="30" t="n">
        <f aca="false">E108/$E$222</f>
        <v>0.31900130718595</v>
      </c>
      <c r="H108" s="31" t="n">
        <f aca="false">(F108-F107)*(G108+G107)</f>
        <v>0.000802120890908473</v>
      </c>
      <c r="I108" s="32" t="n">
        <f aca="false">MIN(10,ROUNDUP(F108*10,0))</f>
        <v>6</v>
      </c>
    </row>
    <row r="109" customFormat="false" ht="15.75" hidden="false" customHeight="true" outlineLevel="0" collapsed="false">
      <c r="A109" s="29" t="n">
        <v>409500</v>
      </c>
      <c r="B109" s="29" t="n">
        <v>1376</v>
      </c>
      <c r="C109" s="29" t="n">
        <f aca="false">A109*B109</f>
        <v>563472000</v>
      </c>
      <c r="D109" s="29" t="n">
        <f aca="false">SUM($B$3:B109)</f>
        <v>221904</v>
      </c>
      <c r="E109" s="29" t="n">
        <f aca="false">SUM($C$3:C109)</f>
        <v>56385557190.83</v>
      </c>
      <c r="F109" s="30" t="n">
        <f aca="false">D109/$D$222</f>
        <v>0.561230993353364</v>
      </c>
      <c r="G109" s="30" t="n">
        <f aca="false">E109/$E$222</f>
        <v>0.322221328508124</v>
      </c>
      <c r="H109" s="31" t="n">
        <f aca="false">(F109-F108)*(G109+G108)</f>
        <v>0.00223153547076552</v>
      </c>
      <c r="I109" s="32" t="n">
        <f aca="false">MIN(10,ROUNDUP(F109*10,0))</f>
        <v>6</v>
      </c>
    </row>
    <row r="110" customFormat="false" ht="15.75" hidden="false" customHeight="true" outlineLevel="0" collapsed="false">
      <c r="A110" s="29" t="n">
        <v>410000</v>
      </c>
      <c r="B110" s="29" t="n">
        <v>2165</v>
      </c>
      <c r="C110" s="29" t="n">
        <f aca="false">A110*B110</f>
        <v>887650000</v>
      </c>
      <c r="D110" s="29" t="n">
        <f aca="false">SUM($B$3:B110)</f>
        <v>224069</v>
      </c>
      <c r="E110" s="29" t="n">
        <f aca="false">SUM($C$3:C110)</f>
        <v>57273207190.83</v>
      </c>
      <c r="F110" s="30" t="n">
        <f aca="false">D110/$D$222</f>
        <v>0.566706627414084</v>
      </c>
      <c r="G110" s="30" t="n">
        <f aca="false">E110/$E$222</f>
        <v>0.327293899863271</v>
      </c>
      <c r="H110" s="31" t="n">
        <f aca="false">(F110-F109)*(G110+G109)</f>
        <v>0.00355650770742684</v>
      </c>
      <c r="I110" s="32" t="n">
        <f aca="false">MIN(10,ROUNDUP(F110*10,0))</f>
        <v>6</v>
      </c>
    </row>
    <row r="111" customFormat="false" ht="15.75" hidden="false" customHeight="true" outlineLevel="0" collapsed="false">
      <c r="A111" s="29" t="n">
        <v>412500</v>
      </c>
      <c r="B111" s="29" t="n">
        <v>4340</v>
      </c>
      <c r="C111" s="29" t="n">
        <f aca="false">A111*B111</f>
        <v>1790250000</v>
      </c>
      <c r="D111" s="29" t="n">
        <f aca="false">SUM($B$3:B111)</f>
        <v>228409</v>
      </c>
      <c r="E111" s="29" t="n">
        <f aca="false">SUM($C$3:C111)</f>
        <v>59063457190.83</v>
      </c>
      <c r="F111" s="30" t="n">
        <f aca="false">D111/$D$222</f>
        <v>0.577683187147814</v>
      </c>
      <c r="G111" s="30" t="n">
        <f aca="false">E111/$E$222</f>
        <v>0.337524475955822</v>
      </c>
      <c r="H111" s="31" t="n">
        <f aca="false">(F111-F110)*(G111+G110)</f>
        <v>0.00729741861425958</v>
      </c>
      <c r="I111" s="32" t="n">
        <f aca="false">MIN(10,ROUNDUP(F111*10,0))</f>
        <v>6</v>
      </c>
    </row>
    <row r="112" customFormat="false" ht="15.75" hidden="false" customHeight="true" outlineLevel="0" collapsed="false">
      <c r="A112" s="29" t="n">
        <v>414000</v>
      </c>
      <c r="B112" s="29" t="n">
        <v>2853</v>
      </c>
      <c r="C112" s="29" t="n">
        <f aca="false">A112*B112</f>
        <v>1181142000</v>
      </c>
      <c r="D112" s="29" t="n">
        <f aca="false">SUM($B$3:B112)</f>
        <v>231262</v>
      </c>
      <c r="E112" s="29" t="n">
        <f aca="false">SUM($C$3:C112)</f>
        <v>60244599190.83</v>
      </c>
      <c r="F112" s="30" t="n">
        <f aca="false">D112/$D$222</f>
        <v>0.584898884134066</v>
      </c>
      <c r="G112" s="30" t="n">
        <f aca="false">E112/$E$222</f>
        <v>0.34427423889793</v>
      </c>
      <c r="H112" s="31" t="n">
        <f aca="false">(F112-F111)*(G112+G111)</f>
        <v>0.00491965293200034</v>
      </c>
      <c r="I112" s="32" t="n">
        <f aca="false">MIN(10,ROUNDUP(F112*10,0))</f>
        <v>6</v>
      </c>
    </row>
    <row r="113" customFormat="false" ht="15.75" hidden="false" customHeight="true" outlineLevel="0" collapsed="false">
      <c r="A113" s="29" t="n">
        <v>416666.67</v>
      </c>
      <c r="B113" s="29" t="n">
        <v>1479</v>
      </c>
      <c r="C113" s="29" t="n">
        <f aca="false">A113*B113</f>
        <v>616250004.93</v>
      </c>
      <c r="D113" s="29" t="n">
        <f aca="false">SUM($B$3:B113)</f>
        <v>232741</v>
      </c>
      <c r="E113" s="29" t="n">
        <f aca="false">SUM($C$3:C113)</f>
        <v>60860849195.76</v>
      </c>
      <c r="F113" s="30" t="n">
        <f aca="false">D113/$D$222</f>
        <v>0.588639513591712</v>
      </c>
      <c r="G113" s="30" t="n">
        <f aca="false">E113/$E$222</f>
        <v>0.347795865803374</v>
      </c>
      <c r="H113" s="31" t="n">
        <f aca="false">(F113-F112)*(G113+G112)</f>
        <v>0.00258877782040229</v>
      </c>
      <c r="I113" s="32" t="n">
        <f aca="false">MIN(10,ROUNDUP(F113*10,0))</f>
        <v>6</v>
      </c>
    </row>
    <row r="114" customFormat="false" ht="15.75" hidden="false" customHeight="true" outlineLevel="0" collapsed="false">
      <c r="A114" s="29" t="n">
        <v>429666.67</v>
      </c>
      <c r="B114" s="29" t="n">
        <v>1602</v>
      </c>
      <c r="C114" s="29" t="n">
        <f aca="false">A114*B114</f>
        <v>688326005.34</v>
      </c>
      <c r="D114" s="29" t="n">
        <f aca="false">SUM($B$3:B114)</f>
        <v>234343</v>
      </c>
      <c r="E114" s="29" t="n">
        <f aca="false">SUM($C$3:C114)</f>
        <v>61549175201.1</v>
      </c>
      <c r="F114" s="30" t="n">
        <f aca="false">D114/$D$222</f>
        <v>0.592691229880523</v>
      </c>
      <c r="G114" s="30" t="n">
        <f aca="false">E114/$E$222</f>
        <v>0.351729378761962</v>
      </c>
      <c r="H114" s="31" t="n">
        <f aca="false">(F114-F113)*(G114+G113)</f>
        <v>0.00283427782783922</v>
      </c>
      <c r="I114" s="32" t="n">
        <f aca="false">MIN(10,ROUNDUP(F114*10,0))</f>
        <v>6</v>
      </c>
    </row>
    <row r="115" customFormat="false" ht="15.75" hidden="false" customHeight="true" outlineLevel="0" collapsed="false">
      <c r="A115" s="29" t="n">
        <v>430000</v>
      </c>
      <c r="B115" s="29" t="n">
        <v>4040</v>
      </c>
      <c r="C115" s="29" t="n">
        <f aca="false">A115*B115</f>
        <v>1737200000</v>
      </c>
      <c r="D115" s="29" t="n">
        <f aca="false">SUM($B$3:B115)</f>
        <v>238383</v>
      </c>
      <c r="E115" s="29" t="n">
        <f aca="false">SUM($C$3:C115)</f>
        <v>63286375201.1</v>
      </c>
      <c r="F115" s="30" t="n">
        <f aca="false">D115/$D$222</f>
        <v>0.602909041245561</v>
      </c>
      <c r="G115" s="30" t="n">
        <f aca="false">E115/$E$222</f>
        <v>0.361656794926173</v>
      </c>
      <c r="H115" s="31" t="n">
        <f aca="false">(F115-F114)*(G115+G114)</f>
        <v>0.00728924535317221</v>
      </c>
      <c r="I115" s="32" t="n">
        <f aca="false">MIN(10,ROUNDUP(F115*10,0))</f>
        <v>7</v>
      </c>
    </row>
    <row r="116" customFormat="false" ht="15.75" hidden="false" customHeight="true" outlineLevel="0" collapsed="false">
      <c r="A116" s="29" t="n">
        <v>433333.33</v>
      </c>
      <c r="B116" s="29" t="n">
        <v>1095</v>
      </c>
      <c r="C116" s="29" t="n">
        <f aca="false">A116*B116</f>
        <v>474499996.35</v>
      </c>
      <c r="D116" s="29" t="n">
        <f aca="false">SUM($B$3:B116)</f>
        <v>239478</v>
      </c>
      <c r="E116" s="29" t="n">
        <f aca="false">SUM($C$3:C116)</f>
        <v>63760875197.45</v>
      </c>
      <c r="F116" s="30" t="n">
        <f aca="false">D116/$D$222</f>
        <v>0.605678472791284</v>
      </c>
      <c r="G116" s="30" t="n">
        <f aca="false">E116/$E$222</f>
        <v>0.36436837616822</v>
      </c>
      <c r="H116" s="31" t="n">
        <f aca="false">(F116-F115)*(G116+G115)</f>
        <v>0.00201067701181715</v>
      </c>
      <c r="I116" s="32" t="n">
        <f aca="false">MIN(10,ROUNDUP(F116*10,0))</f>
        <v>7</v>
      </c>
    </row>
    <row r="117" customFormat="false" ht="15.75" hidden="false" customHeight="true" outlineLevel="0" collapsed="false">
      <c r="A117" s="29" t="n">
        <v>435000</v>
      </c>
      <c r="B117" s="29" t="n">
        <v>2056</v>
      </c>
      <c r="C117" s="29" t="n">
        <f aca="false">A117*B117</f>
        <v>894360000</v>
      </c>
      <c r="D117" s="29" t="n">
        <f aca="false">SUM($B$3:B117)</f>
        <v>241534</v>
      </c>
      <c r="E117" s="29" t="n">
        <f aca="false">SUM($C$3:C117)</f>
        <v>64655235197.45</v>
      </c>
      <c r="F117" s="30" t="n">
        <f aca="false">D117/$D$222</f>
        <v>0.610878428278046</v>
      </c>
      <c r="G117" s="30" t="n">
        <f aca="false">E117/$E$222</f>
        <v>0.369479292539751</v>
      </c>
      <c r="H117" s="31" t="n">
        <f aca="false">(F117-F116)*(G117+G116)</f>
        <v>0.00381597521134576</v>
      </c>
      <c r="I117" s="32" t="n">
        <f aca="false">MIN(10,ROUNDUP(F117*10,0))</f>
        <v>7</v>
      </c>
    </row>
    <row r="118" customFormat="false" ht="15.75" hidden="false" customHeight="true" outlineLevel="0" collapsed="false">
      <c r="A118" s="29" t="n">
        <v>443735.67</v>
      </c>
      <c r="B118" s="29" t="n">
        <v>1341</v>
      </c>
      <c r="C118" s="29" t="n">
        <f aca="false">A118*B118</f>
        <v>595049533.47</v>
      </c>
      <c r="D118" s="29" t="n">
        <f aca="false">SUM($B$3:B118)</f>
        <v>242875</v>
      </c>
      <c r="E118" s="29" t="n">
        <f aca="false">SUM($C$3:C118)</f>
        <v>65250284730.92</v>
      </c>
      <c r="F118" s="30" t="n">
        <f aca="false">D118/$D$222</f>
        <v>0.614270033486095</v>
      </c>
      <c r="G118" s="30" t="n">
        <f aca="false">E118/$E$222</f>
        <v>0.372879767071801</v>
      </c>
      <c r="H118" s="31" t="n">
        <f aca="false">(F118-F117)*(G118+G117)</f>
        <v>0.00251778885282076</v>
      </c>
      <c r="I118" s="32" t="n">
        <f aca="false">MIN(10,ROUNDUP(F118*10,0))</f>
        <v>7</v>
      </c>
    </row>
    <row r="119" customFormat="false" ht="15.75" hidden="false" customHeight="true" outlineLevel="0" collapsed="false">
      <c r="A119" s="29" t="n">
        <v>446298</v>
      </c>
      <c r="B119" s="29" t="n">
        <v>612</v>
      </c>
      <c r="C119" s="29" t="n">
        <f aca="false">A119*B119</f>
        <v>273134376</v>
      </c>
      <c r="D119" s="29" t="n">
        <f aca="false">SUM($B$3:B119)</f>
        <v>243487</v>
      </c>
      <c r="E119" s="29" t="n">
        <f aca="false">SUM($C$3:C119)</f>
        <v>65523419106.92</v>
      </c>
      <c r="F119" s="30" t="n">
        <f aca="false">D119/$D$222</f>
        <v>0.615817880158224</v>
      </c>
      <c r="G119" s="30" t="n">
        <f aca="false">E119/$E$222</f>
        <v>0.37444062282779</v>
      </c>
      <c r="H119" s="31" t="n">
        <f aca="false">(F119-F118)*(G119+G118)</f>
        <v>0.00115673737852075</v>
      </c>
      <c r="I119" s="32" t="n">
        <f aca="false">MIN(10,ROUNDUP(F119*10,0))</f>
        <v>7</v>
      </c>
    </row>
    <row r="120" customFormat="false" ht="15.75" hidden="false" customHeight="true" outlineLevel="0" collapsed="false">
      <c r="A120" s="29" t="n">
        <v>450000</v>
      </c>
      <c r="B120" s="29" t="n">
        <v>2147</v>
      </c>
      <c r="C120" s="29" t="n">
        <f aca="false">A120*B120</f>
        <v>966150000</v>
      </c>
      <c r="D120" s="29" t="n">
        <f aca="false">SUM($B$3:B120)</f>
        <v>245634</v>
      </c>
      <c r="E120" s="29" t="n">
        <f aca="false">SUM($C$3:C120)</f>
        <v>66489569106.92</v>
      </c>
      <c r="F120" s="30" t="n">
        <f aca="false">D120/$D$222</f>
        <v>0.621247989316823</v>
      </c>
      <c r="G120" s="30" t="n">
        <f aca="false">E120/$E$222</f>
        <v>0.379961790872375</v>
      </c>
      <c r="H120" s="31" t="n">
        <f aca="false">(F120-F119)*(G120+G119)</f>
        <v>0.00409648745590219</v>
      </c>
      <c r="I120" s="32" t="n">
        <f aca="false">MIN(10,ROUNDUP(F120*10,0))</f>
        <v>7</v>
      </c>
    </row>
    <row r="121" customFormat="false" ht="15.75" hidden="false" customHeight="true" outlineLevel="0" collapsed="false">
      <c r="A121" s="29" t="n">
        <v>466666.67</v>
      </c>
      <c r="B121" s="29" t="n">
        <v>3315</v>
      </c>
      <c r="C121" s="29" t="n">
        <f aca="false">A121*B121</f>
        <v>1547000011.05</v>
      </c>
      <c r="D121" s="29" t="n">
        <f aca="false">SUM($B$3:B121)</f>
        <v>248949</v>
      </c>
      <c r="E121" s="29" t="n">
        <f aca="false">SUM($C$3:C121)</f>
        <v>68036569117.97</v>
      </c>
      <c r="F121" s="30" t="n">
        <f aca="false">D121/$D$222</f>
        <v>0.629632158790859</v>
      </c>
      <c r="G121" s="30" t="n">
        <f aca="false">E121/$E$222</f>
        <v>0.388802288751567</v>
      </c>
      <c r="H121" s="31" t="n">
        <f aca="false">(F121-F120)*(G121+G120)</f>
        <v>0.00644544832911816</v>
      </c>
      <c r="I121" s="32" t="n">
        <f aca="false">MIN(10,ROUNDUP(F121*10,0))</f>
        <v>7</v>
      </c>
    </row>
    <row r="122" customFormat="false" ht="15.75" hidden="false" customHeight="true" outlineLevel="0" collapsed="false">
      <c r="A122" s="29" t="n">
        <v>475000</v>
      </c>
      <c r="B122" s="29" t="n">
        <v>872</v>
      </c>
      <c r="C122" s="29" t="n">
        <f aca="false">A122*B122</f>
        <v>414200000</v>
      </c>
      <c r="D122" s="29" t="n">
        <f aca="false">SUM($B$3:B122)</f>
        <v>249821</v>
      </c>
      <c r="E122" s="29" t="n">
        <f aca="false">SUM($C$3:C122)</f>
        <v>68450769117.97</v>
      </c>
      <c r="F122" s="30" t="n">
        <f aca="false">D122/$D$222</f>
        <v>0.631837587382521</v>
      </c>
      <c r="G122" s="30" t="n">
        <f aca="false">E122/$E$222</f>
        <v>0.391169279181694</v>
      </c>
      <c r="H122" s="31" t="n">
        <f aca="false">(F122-F121)*(G122+G121)</f>
        <v>0.00172017159660333</v>
      </c>
      <c r="I122" s="32" t="n">
        <f aca="false">MIN(10,ROUNDUP(F122*10,0))</f>
        <v>7</v>
      </c>
    </row>
    <row r="123" customFormat="false" ht="15.75" hidden="false" customHeight="true" outlineLevel="0" collapsed="false">
      <c r="A123" s="29" t="n">
        <v>479200</v>
      </c>
      <c r="B123" s="29" t="n">
        <v>1890</v>
      </c>
      <c r="C123" s="29" t="n">
        <f aca="false">A123*B123</f>
        <v>905688000</v>
      </c>
      <c r="D123" s="29" t="n">
        <f aca="false">SUM($B$3:B123)</f>
        <v>251711</v>
      </c>
      <c r="E123" s="29" t="n">
        <f aca="false">SUM($C$3:C123)</f>
        <v>69356457117.97</v>
      </c>
      <c r="F123" s="30" t="n">
        <f aca="false">D123/$D$222</f>
        <v>0.636617702105274</v>
      </c>
      <c r="G123" s="30" t="n">
        <f aca="false">E123/$E$222</f>
        <v>0.396344930627084</v>
      </c>
      <c r="H123" s="31" t="n">
        <f aca="false">(F123-F122)*(G123+G122)</f>
        <v>0.00376440826868437</v>
      </c>
      <c r="I123" s="32" t="n">
        <f aca="false">MIN(10,ROUNDUP(F123*10,0))</f>
        <v>7</v>
      </c>
    </row>
    <row r="124" customFormat="false" ht="15.75" hidden="false" customHeight="true" outlineLevel="0" collapsed="false">
      <c r="A124" s="29" t="n">
        <v>481438.33</v>
      </c>
      <c r="B124" s="29" t="n">
        <v>936</v>
      </c>
      <c r="C124" s="29" t="n">
        <f aca="false">A124*B124</f>
        <v>450626276.88</v>
      </c>
      <c r="D124" s="29" t="n">
        <f aca="false">SUM($B$3:B124)</f>
        <v>252647</v>
      </c>
      <c r="E124" s="29" t="n">
        <f aca="false">SUM($C$3:C124)</f>
        <v>69807083394.85</v>
      </c>
      <c r="F124" s="30" t="n">
        <f aca="false">D124/$D$222</f>
        <v>0.63898499701559</v>
      </c>
      <c r="G124" s="30" t="n">
        <f aca="false">E124/$E$222</f>
        <v>0.398920082932586</v>
      </c>
      <c r="H124" s="31" t="n">
        <f aca="false">(F124-F123)*(G124+G123)</f>
        <v>0.00188262681895215</v>
      </c>
      <c r="I124" s="32" t="n">
        <f aca="false">MIN(10,ROUNDUP(F124*10,0))</f>
        <v>7</v>
      </c>
    </row>
    <row r="125" customFormat="false" ht="15.75" hidden="false" customHeight="true" outlineLevel="0" collapsed="false">
      <c r="A125" s="29" t="n">
        <v>490000</v>
      </c>
      <c r="B125" s="29" t="n">
        <v>4080</v>
      </c>
      <c r="C125" s="29" t="n">
        <f aca="false">A125*B125</f>
        <v>1999200000</v>
      </c>
      <c r="D125" s="29" t="n">
        <f aca="false">SUM($B$3:B125)</f>
        <v>256727</v>
      </c>
      <c r="E125" s="29" t="n">
        <f aca="false">SUM($C$3:C125)</f>
        <v>71806283394.85</v>
      </c>
      <c r="F125" s="30" t="n">
        <f aca="false">D125/$D$222</f>
        <v>0.649303974829787</v>
      </c>
      <c r="G125" s="30" t="n">
        <f aca="false">E125/$E$222</f>
        <v>0.410344726264091</v>
      </c>
      <c r="H125" s="31" t="n">
        <f aca="false">(F125-F124)*(G125+G124)</f>
        <v>0.00835078561191141</v>
      </c>
      <c r="I125" s="32" t="n">
        <f aca="false">MIN(10,ROUNDUP(F125*10,0))</f>
        <v>7</v>
      </c>
    </row>
    <row r="126" customFormat="false" ht="15.75" hidden="false" customHeight="true" outlineLevel="0" collapsed="false">
      <c r="A126" s="29" t="n">
        <v>494194</v>
      </c>
      <c r="B126" s="29" t="n">
        <v>352</v>
      </c>
      <c r="C126" s="29" t="n">
        <f aca="false">A126*B126</f>
        <v>173956288</v>
      </c>
      <c r="D126" s="29" t="n">
        <f aca="false">SUM($B$3:B126)</f>
        <v>257079</v>
      </c>
      <c r="E126" s="29" t="n">
        <f aca="false">SUM($C$3:C126)</f>
        <v>71980239682.85</v>
      </c>
      <c r="F126" s="30" t="n">
        <f aca="false">D126/$D$222</f>
        <v>0.650194239582385</v>
      </c>
      <c r="G126" s="30" t="n">
        <f aca="false">E126/$E$222</f>
        <v>0.411338818173691</v>
      </c>
      <c r="H126" s="31" t="n">
        <f aca="false">(F126-F125)*(G126+G125)</f>
        <v>0.000731515897402305</v>
      </c>
      <c r="I126" s="32" t="n">
        <f aca="false">MIN(10,ROUNDUP(F126*10,0))</f>
        <v>7</v>
      </c>
    </row>
    <row r="127" customFormat="false" ht="15.75" hidden="false" customHeight="true" outlineLevel="0" collapsed="false">
      <c r="A127" s="29" t="n">
        <v>495000</v>
      </c>
      <c r="B127" s="29" t="n">
        <v>336</v>
      </c>
      <c r="C127" s="29" t="n">
        <f aca="false">A127*B127</f>
        <v>166320000</v>
      </c>
      <c r="D127" s="29" t="n">
        <f aca="false">SUM($B$3:B127)</f>
        <v>257415</v>
      </c>
      <c r="E127" s="29" t="n">
        <f aca="false">SUM($C$3:C127)</f>
        <v>72146559682.85</v>
      </c>
      <c r="F127" s="30" t="n">
        <f aca="false">D127/$D$222</f>
        <v>0.651044037755319</v>
      </c>
      <c r="G127" s="30" t="n">
        <f aca="false">E127/$E$222</f>
        <v>0.412289271694548</v>
      </c>
      <c r="H127" s="31" t="n">
        <f aca="false">(F127-F126)*(G127+G126)</f>
        <v>0.000699917645947115</v>
      </c>
      <c r="I127" s="32" t="n">
        <f aca="false">MIN(10,ROUNDUP(F127*10,0))</f>
        <v>7</v>
      </c>
    </row>
    <row r="128" customFormat="false" ht="15.75" hidden="false" customHeight="true" outlineLevel="0" collapsed="false">
      <c r="A128" s="29" t="n">
        <v>499000</v>
      </c>
      <c r="B128" s="29" t="n">
        <v>634</v>
      </c>
      <c r="C128" s="29" t="n">
        <f aca="false">A128*B128</f>
        <v>316366000</v>
      </c>
      <c r="D128" s="29" t="n">
        <f aca="false">SUM($B$3:B128)</f>
        <v>258049</v>
      </c>
      <c r="E128" s="29" t="n">
        <f aca="false">SUM($C$3:C128)</f>
        <v>72462925682.85</v>
      </c>
      <c r="F128" s="30" t="n">
        <f aca="false">D128/$D$222</f>
        <v>0.652647525974486</v>
      </c>
      <c r="G128" s="30" t="n">
        <f aca="false">E128/$E$222</f>
        <v>0.414097179213663</v>
      </c>
      <c r="H128" s="31" t="n">
        <f aca="false">(F128-F127)*(G128+G127)</f>
        <v>0.00132510093851055</v>
      </c>
      <c r="I128" s="32" t="n">
        <f aca="false">MIN(10,ROUNDUP(F128*10,0))</f>
        <v>7</v>
      </c>
    </row>
    <row r="129" customFormat="false" ht="15.75" hidden="false" customHeight="true" outlineLevel="0" collapsed="false">
      <c r="A129" s="29" t="n">
        <v>500000</v>
      </c>
      <c r="B129" s="29" t="n">
        <v>8855</v>
      </c>
      <c r="C129" s="29" t="n">
        <f aca="false">A129*B129</f>
        <v>4427500000</v>
      </c>
      <c r="D129" s="29" t="n">
        <f aca="false">SUM($B$3:B129)</f>
        <v>266904</v>
      </c>
      <c r="E129" s="29" t="n">
        <f aca="false">SUM($C$3:C129)</f>
        <v>76890425682.85</v>
      </c>
      <c r="F129" s="30" t="n">
        <f aca="false">D129/$D$222</f>
        <v>0.675043248657015</v>
      </c>
      <c r="G129" s="30" t="n">
        <f aca="false">E129/$E$222</f>
        <v>0.439398603958681</v>
      </c>
      <c r="H129" s="31" t="n">
        <f aca="false">(F129-F128)*(G129+G128)</f>
        <v>0.0191146548706362</v>
      </c>
      <c r="I129" s="32" t="n">
        <f aca="false">MIN(10,ROUNDUP(F129*10,0))</f>
        <v>7</v>
      </c>
    </row>
    <row r="130" customFormat="false" ht="15.75" hidden="false" customHeight="true" outlineLevel="0" collapsed="false">
      <c r="A130" s="29" t="n">
        <v>502110.8</v>
      </c>
      <c r="B130" s="29" t="n">
        <v>1605</v>
      </c>
      <c r="C130" s="29" t="n">
        <f aca="false">A130*B130</f>
        <v>805887834</v>
      </c>
      <c r="D130" s="29" t="n">
        <f aca="false">SUM($B$3:B130)</f>
        <v>268509</v>
      </c>
      <c r="E130" s="29" t="n">
        <f aca="false">SUM($C$3:C130)</f>
        <v>77696313516.85</v>
      </c>
      <c r="F130" s="30" t="n">
        <f aca="false">D130/$D$222</f>
        <v>0.679102552429512</v>
      </c>
      <c r="G130" s="30" t="n">
        <f aca="false">E130/$E$222</f>
        <v>0.444003936626073</v>
      </c>
      <c r="H130" s="31" t="n">
        <f aca="false">(F130-F129)*(G130+G129)</f>
        <v>0.003585999265629</v>
      </c>
      <c r="I130" s="32" t="n">
        <f aca="false">MIN(10,ROUNDUP(F130*10,0))</f>
        <v>7</v>
      </c>
    </row>
    <row r="131" customFormat="false" ht="15.75" hidden="false" customHeight="true" outlineLevel="0" collapsed="false">
      <c r="A131" s="29" t="n">
        <v>510000</v>
      </c>
      <c r="B131" s="29" t="n">
        <v>1149</v>
      </c>
      <c r="C131" s="29" t="n">
        <f aca="false">A131*B131</f>
        <v>585990000</v>
      </c>
      <c r="D131" s="29" t="n">
        <f aca="false">SUM($B$3:B131)</f>
        <v>269658</v>
      </c>
      <c r="E131" s="29" t="n">
        <f aca="false">SUM($C$3:C131)</f>
        <v>78282303516.85</v>
      </c>
      <c r="F131" s="30" t="n">
        <f aca="false">D131/$D$222</f>
        <v>0.682008558681599</v>
      </c>
      <c r="G131" s="30" t="n">
        <f aca="false">E131/$E$222</f>
        <v>0.447352639480129</v>
      </c>
      <c r="H131" s="31" t="n">
        <f aca="false">(F131-F130)*(G131+G130)</f>
        <v>0.00259028778300312</v>
      </c>
      <c r="I131" s="32" t="n">
        <f aca="false">MIN(10,ROUNDUP(F131*10,0))</f>
        <v>7</v>
      </c>
    </row>
    <row r="132" customFormat="false" ht="15.75" hidden="false" customHeight="true" outlineLevel="0" collapsed="false">
      <c r="A132" s="29" t="n">
        <v>512500</v>
      </c>
      <c r="B132" s="29" t="n">
        <v>1848</v>
      </c>
      <c r="C132" s="29" t="n">
        <f aca="false">A132*B132</f>
        <v>947100000</v>
      </c>
      <c r="D132" s="29" t="n">
        <f aca="false">SUM($B$3:B132)</f>
        <v>271506</v>
      </c>
      <c r="E132" s="29" t="n">
        <f aca="false">SUM($C$3:C132)</f>
        <v>79229403516.85</v>
      </c>
      <c r="F132" s="30" t="n">
        <f aca="false">D132/$D$222</f>
        <v>0.686682448632735</v>
      </c>
      <c r="G132" s="30" t="n">
        <f aca="false">E132/$E$222</f>
        <v>0.452764944251672</v>
      </c>
      <c r="H132" s="31" t="n">
        <f aca="false">(F132-F131)*(G132+G131)</f>
        <v>0.00420705052944542</v>
      </c>
      <c r="I132" s="32" t="n">
        <f aca="false">MIN(10,ROUNDUP(F132*10,0))</f>
        <v>7</v>
      </c>
    </row>
    <row r="133" customFormat="false" ht="15.75" hidden="false" customHeight="true" outlineLevel="0" collapsed="false">
      <c r="A133" s="29" t="n">
        <v>512766.67</v>
      </c>
      <c r="B133" s="29" t="n">
        <v>1047</v>
      </c>
      <c r="C133" s="29" t="n">
        <f aca="false">A133*B133</f>
        <v>536866703.49</v>
      </c>
      <c r="D133" s="29" t="n">
        <f aca="false">SUM($B$3:B133)</f>
        <v>272553</v>
      </c>
      <c r="E133" s="29" t="n">
        <f aca="false">SUM($C$3:C133)</f>
        <v>79766270220.34</v>
      </c>
      <c r="F133" s="30" t="n">
        <f aca="false">D133/$D$222</f>
        <v>0.689330480439467</v>
      </c>
      <c r="G133" s="30" t="n">
        <f aca="false">E133/$E$222</f>
        <v>0.455832926746637</v>
      </c>
      <c r="H133" s="31" t="n">
        <f aca="false">(F133-F132)*(G133+G132)</f>
        <v>0.00240599606193221</v>
      </c>
      <c r="I133" s="32" t="n">
        <f aca="false">MIN(10,ROUNDUP(F133*10,0))</f>
        <v>7</v>
      </c>
    </row>
    <row r="134" customFormat="false" ht="15.75" hidden="false" customHeight="true" outlineLevel="0" collapsed="false">
      <c r="A134" s="29" t="n">
        <v>516666.67</v>
      </c>
      <c r="B134" s="29" t="n">
        <v>2250</v>
      </c>
      <c r="C134" s="29" t="n">
        <f aca="false">A134*B134</f>
        <v>1162500007.5</v>
      </c>
      <c r="D134" s="29" t="n">
        <f aca="false">SUM($B$3:B134)</f>
        <v>274803</v>
      </c>
      <c r="E134" s="29" t="n">
        <f aca="false">SUM($C$3:C134)</f>
        <v>80928770227.84</v>
      </c>
      <c r="F134" s="30" t="n">
        <f aca="false">D134/$D$222</f>
        <v>0.69502109320465</v>
      </c>
      <c r="G134" s="30" t="n">
        <f aca="false">E134/$E$222</f>
        <v>0.462476158018426</v>
      </c>
      <c r="H134" s="31" t="n">
        <f aca="false">(F134-F133)*(G134+G133)</f>
        <v>0.00522574140014719</v>
      </c>
      <c r="I134" s="32" t="n">
        <f aca="false">MIN(10,ROUNDUP(F134*10,0))</f>
        <v>7</v>
      </c>
    </row>
    <row r="135" customFormat="false" ht="15.75" hidden="false" customHeight="true" outlineLevel="0" collapsed="false">
      <c r="A135" s="29" t="n">
        <v>520000</v>
      </c>
      <c r="B135" s="29" t="n">
        <v>678</v>
      </c>
      <c r="C135" s="29" t="n">
        <f aca="false">A135*B135</f>
        <v>352560000</v>
      </c>
      <c r="D135" s="29" t="n">
        <f aca="false">SUM($B$3:B135)</f>
        <v>275481</v>
      </c>
      <c r="E135" s="29" t="n">
        <f aca="false">SUM($C$3:C135)</f>
        <v>81281330227.84</v>
      </c>
      <c r="F135" s="30" t="n">
        <f aca="false">D135/$D$222</f>
        <v>0.696735864517891</v>
      </c>
      <c r="G135" s="30" t="n">
        <f aca="false">E135/$E$222</f>
        <v>0.464490900041713</v>
      </c>
      <c r="H135" s="31" t="n">
        <f aca="false">(F135-F134)*(G135+G134)</f>
        <v>0.00158953651948149</v>
      </c>
      <c r="I135" s="32" t="n">
        <f aca="false">MIN(10,ROUNDUP(F135*10,0))</f>
        <v>7</v>
      </c>
    </row>
    <row r="136" customFormat="false" ht="15.75" hidden="false" customHeight="true" outlineLevel="0" collapsed="false">
      <c r="A136" s="29" t="n">
        <v>523000</v>
      </c>
      <c r="B136" s="29" t="n">
        <v>1588</v>
      </c>
      <c r="C136" s="29" t="n">
        <f aca="false">A136*B136</f>
        <v>830524000</v>
      </c>
      <c r="D136" s="29" t="n">
        <f aca="false">SUM($B$3:B136)</f>
        <v>277069</v>
      </c>
      <c r="E136" s="29" t="n">
        <f aca="false">SUM($C$3:C136)</f>
        <v>82111854227.84</v>
      </c>
      <c r="F136" s="30" t="n">
        <f aca="false">D136/$D$222</f>
        <v>0.700752172549496</v>
      </c>
      <c r="G136" s="30" t="n">
        <f aca="false">E136/$E$222</f>
        <v>0.469237018728315</v>
      </c>
      <c r="H136" s="31" t="n">
        <f aca="false">(F136-F135)*(G136+G135)</f>
        <v>0.00375013893948939</v>
      </c>
      <c r="I136" s="32" t="n">
        <f aca="false">MIN(10,ROUNDUP(F136*10,0))</f>
        <v>8</v>
      </c>
    </row>
    <row r="137" customFormat="false" ht="15.75" hidden="false" customHeight="true" outlineLevel="0" collapsed="false">
      <c r="A137" s="29" t="n">
        <v>525000</v>
      </c>
      <c r="B137" s="29" t="n">
        <v>2772</v>
      </c>
      <c r="C137" s="29" t="n">
        <f aca="false">A137*B137</f>
        <v>1455300000</v>
      </c>
      <c r="D137" s="29" t="n">
        <f aca="false">SUM($B$3:B137)</f>
        <v>279841</v>
      </c>
      <c r="E137" s="29" t="n">
        <f aca="false">SUM($C$3:C137)</f>
        <v>83567154227.84</v>
      </c>
      <c r="F137" s="30" t="n">
        <f aca="false">D137/$D$222</f>
        <v>0.707763007476201</v>
      </c>
      <c r="G137" s="30" t="n">
        <f aca="false">E137/$E$222</f>
        <v>0.477553487035808</v>
      </c>
      <c r="H137" s="31" t="n">
        <f aca="false">(F137-F136)*(G137+G136)</f>
        <v>0.00663779194608367</v>
      </c>
      <c r="I137" s="32" t="n">
        <f aca="false">MIN(10,ROUNDUP(F137*10,0))</f>
        <v>8</v>
      </c>
    </row>
    <row r="138" customFormat="false" ht="15.75" hidden="false" customHeight="true" outlineLevel="0" collapsed="false">
      <c r="A138" s="29" t="n">
        <v>526000</v>
      </c>
      <c r="B138" s="29" t="n">
        <v>251</v>
      </c>
      <c r="C138" s="29" t="n">
        <f aca="false">A138*B138</f>
        <v>132026000</v>
      </c>
      <c r="D138" s="29" t="n">
        <f aca="false">SUM($B$3:B138)</f>
        <v>280092</v>
      </c>
      <c r="E138" s="29" t="n">
        <f aca="false">SUM($C$3:C138)</f>
        <v>83699180227.84</v>
      </c>
      <c r="F138" s="30" t="n">
        <f aca="false">D138/$D$222</f>
        <v>0.708397826944672</v>
      </c>
      <c r="G138" s="30" t="n">
        <f aca="false">E138/$E$222</f>
        <v>0.47830796380676</v>
      </c>
      <c r="H138" s="31" t="n">
        <f aca="false">(F138-F137)*(G138+G137)</f>
        <v>0.000606799458156216</v>
      </c>
      <c r="I138" s="32" t="n">
        <f aca="false">MIN(10,ROUNDUP(F138*10,0))</f>
        <v>8</v>
      </c>
    </row>
    <row r="139" customFormat="false" ht="15.75" hidden="false" customHeight="true" outlineLevel="0" collapsed="false">
      <c r="A139" s="29" t="n">
        <v>532000</v>
      </c>
      <c r="B139" s="29" t="n">
        <v>858</v>
      </c>
      <c r="C139" s="29" t="n">
        <f aca="false">A139*B139</f>
        <v>456456000</v>
      </c>
      <c r="D139" s="29" t="n">
        <f aca="false">SUM($B$3:B139)</f>
        <v>280950</v>
      </c>
      <c r="E139" s="29" t="n">
        <f aca="false">SUM($C$3:C139)</f>
        <v>84155636227.84</v>
      </c>
      <c r="F139" s="30" t="n">
        <f aca="false">D139/$D$222</f>
        <v>0.710567847279128</v>
      </c>
      <c r="G139" s="30" t="n">
        <f aca="false">E139/$E$222</f>
        <v>0.480916430691776</v>
      </c>
      <c r="H139" s="31" t="n">
        <f aca="false">(F139-F138)*(G139+G138)</f>
        <v>0.0020815364413684</v>
      </c>
      <c r="I139" s="32" t="n">
        <f aca="false">MIN(10,ROUNDUP(F139*10,0))</f>
        <v>8</v>
      </c>
    </row>
    <row r="140" customFormat="false" ht="15.75" hidden="false" customHeight="true" outlineLevel="0" collapsed="false">
      <c r="A140" s="29" t="n">
        <v>533333.33</v>
      </c>
      <c r="B140" s="29" t="n">
        <v>3138</v>
      </c>
      <c r="C140" s="29" t="n">
        <f aca="false">A140*B140</f>
        <v>1673599989.54</v>
      </c>
      <c r="D140" s="29" t="n">
        <f aca="false">SUM($B$3:B140)</f>
        <v>284088</v>
      </c>
      <c r="E140" s="29" t="n">
        <f aca="false">SUM($C$3:C140)</f>
        <v>85829236217.38</v>
      </c>
      <c r="F140" s="30" t="n">
        <f aca="false">D140/$D$222</f>
        <v>0.718504355215636</v>
      </c>
      <c r="G140" s="30" t="n">
        <f aca="false">E140/$E$222</f>
        <v>0.490480397758656</v>
      </c>
      <c r="H140" s="31" t="n">
        <f aca="false">(F140-F139)*(G140+G139)</f>
        <v>0.00770949863849547</v>
      </c>
      <c r="I140" s="32" t="n">
        <f aca="false">MIN(10,ROUNDUP(F140*10,0))</f>
        <v>8</v>
      </c>
    </row>
    <row r="141" customFormat="false" ht="15.75" hidden="false" customHeight="true" outlineLevel="0" collapsed="false">
      <c r="A141" s="29" t="n">
        <v>537000</v>
      </c>
      <c r="B141" s="29" t="n">
        <v>1748</v>
      </c>
      <c r="C141" s="29" t="n">
        <f aca="false">A141*B141</f>
        <v>938676000</v>
      </c>
      <c r="D141" s="29" t="n">
        <f aca="false">SUM($B$3:B141)</f>
        <v>285836</v>
      </c>
      <c r="E141" s="29" t="n">
        <f aca="false">SUM($C$3:C141)</f>
        <v>86767912217.38</v>
      </c>
      <c r="F141" s="30" t="n">
        <f aca="false">D141/$D$222</f>
        <v>0.722925329043876</v>
      </c>
      <c r="G141" s="30" t="n">
        <f aca="false">E141/$E$222</f>
        <v>0.495844562676546</v>
      </c>
      <c r="H141" s="31" t="n">
        <f aca="false">(F141-F140)*(G141+G140)</f>
        <v>0.00436051683622347</v>
      </c>
      <c r="I141" s="32" t="n">
        <f aca="false">MIN(10,ROUNDUP(F141*10,0))</f>
        <v>8</v>
      </c>
    </row>
    <row r="142" customFormat="false" ht="15.75" hidden="false" customHeight="true" outlineLevel="0" collapsed="false">
      <c r="A142" s="29" t="n">
        <v>545000</v>
      </c>
      <c r="B142" s="29" t="n">
        <v>720</v>
      </c>
      <c r="C142" s="29" t="n">
        <f aca="false">A142*B142</f>
        <v>392400000</v>
      </c>
      <c r="D142" s="29" t="n">
        <f aca="false">SUM($B$3:B142)</f>
        <v>286556</v>
      </c>
      <c r="E142" s="29" t="n">
        <f aca="false">SUM($C$3:C142)</f>
        <v>87160312217.38</v>
      </c>
      <c r="F142" s="30" t="n">
        <f aca="false">D142/$D$222</f>
        <v>0.724746325128734</v>
      </c>
      <c r="G142" s="30" t="n">
        <f aca="false">E142/$E$222</f>
        <v>0.498086974662981</v>
      </c>
      <c r="H142" s="31" t="n">
        <f aca="false">(F142-F141)*(G142+G141)</f>
        <v>0.00180994543811259</v>
      </c>
      <c r="I142" s="32" t="n">
        <f aca="false">MIN(10,ROUNDUP(F142*10,0))</f>
        <v>8</v>
      </c>
    </row>
    <row r="143" customFormat="false" ht="15.75" hidden="false" customHeight="true" outlineLevel="0" collapsed="false">
      <c r="A143" s="29" t="n">
        <v>545259.25</v>
      </c>
      <c r="B143" s="29" t="n">
        <v>1492</v>
      </c>
      <c r="C143" s="29" t="n">
        <f aca="false">A143*B143</f>
        <v>813526801</v>
      </c>
      <c r="D143" s="29" t="n">
        <f aca="false">SUM($B$3:B143)</f>
        <v>288048</v>
      </c>
      <c r="E143" s="29" t="n">
        <f aca="false">SUM($C$3:C143)</f>
        <v>87973839018.38</v>
      </c>
      <c r="F143" s="30" t="n">
        <f aca="false">D143/$D$222</f>
        <v>0.728519833682358</v>
      </c>
      <c r="G143" s="30" t="n">
        <f aca="false">E143/$E$222</f>
        <v>0.50273596102855</v>
      </c>
      <c r="H143" s="31" t="n">
        <f aca="false">(F143-F142)*(G143+G142)</f>
        <v>0.00377661390849443</v>
      </c>
      <c r="I143" s="32" t="n">
        <f aca="false">MIN(10,ROUNDUP(F143*10,0))</f>
        <v>8</v>
      </c>
    </row>
    <row r="144" customFormat="false" ht="15.75" hidden="false" customHeight="true" outlineLevel="0" collapsed="false">
      <c r="A144" s="29" t="n">
        <v>546000</v>
      </c>
      <c r="B144" s="29" t="n">
        <v>2045</v>
      </c>
      <c r="C144" s="29" t="n">
        <f aca="false">A144*B144</f>
        <v>1116570000</v>
      </c>
      <c r="D144" s="29" t="n">
        <f aca="false">SUM($B$3:B144)</f>
        <v>290093</v>
      </c>
      <c r="E144" s="29" t="n">
        <f aca="false">SUM($C$3:C144)</f>
        <v>89090409018.38</v>
      </c>
      <c r="F144" s="30" t="n">
        <f aca="false">D144/$D$222</f>
        <v>0.733691968395601</v>
      </c>
      <c r="G144" s="30" t="n">
        <f aca="false">E144/$E$222</f>
        <v>0.509116720334603</v>
      </c>
      <c r="H144" s="31" t="n">
        <f aca="false">(F144-F143)*(G144+G143)</f>
        <v>0.00523343837796701</v>
      </c>
      <c r="I144" s="32" t="n">
        <f aca="false">MIN(10,ROUNDUP(F144*10,0))</f>
        <v>8</v>
      </c>
    </row>
    <row r="145" customFormat="false" ht="15.75" hidden="false" customHeight="true" outlineLevel="0" collapsed="false">
      <c r="A145" s="29" t="n">
        <v>547500</v>
      </c>
      <c r="B145" s="29" t="n">
        <v>864</v>
      </c>
      <c r="C145" s="29" t="n">
        <f aca="false">A145*B145</f>
        <v>473040000</v>
      </c>
      <c r="D145" s="29" t="n">
        <f aca="false">SUM($B$3:B145)</f>
        <v>290957</v>
      </c>
      <c r="E145" s="29" t="n">
        <f aca="false">SUM($C$3:C145)</f>
        <v>89563449018.38</v>
      </c>
      <c r="F145" s="30" t="n">
        <f aca="false">D145/$D$222</f>
        <v>0.735877163697431</v>
      </c>
      <c r="G145" s="30" t="n">
        <f aca="false">E145/$E$222</f>
        <v>0.511819958270545</v>
      </c>
      <c r="H145" s="31" t="n">
        <f aca="false">(F145-F144)*(G145+G144)</f>
        <v>0.00223094603355404</v>
      </c>
      <c r="I145" s="32" t="n">
        <f aca="false">MIN(10,ROUNDUP(F145*10,0))</f>
        <v>8</v>
      </c>
    </row>
    <row r="146" customFormat="false" ht="15.75" hidden="false" customHeight="true" outlineLevel="0" collapsed="false">
      <c r="A146" s="29" t="n">
        <v>548666.67</v>
      </c>
      <c r="B146" s="29" t="n">
        <v>1734</v>
      </c>
      <c r="C146" s="29" t="n">
        <f aca="false">A146*B146</f>
        <v>951388005.78</v>
      </c>
      <c r="D146" s="29" t="n">
        <f aca="false">SUM($B$3:B146)</f>
        <v>292691</v>
      </c>
      <c r="E146" s="29" t="n">
        <f aca="false">SUM($C$3:C146)</f>
        <v>90514837024.16</v>
      </c>
      <c r="F146" s="30" t="n">
        <f aca="false">D146/$D$222</f>
        <v>0.740262729268465</v>
      </c>
      <c r="G146" s="30" t="n">
        <f aca="false">E146/$E$222</f>
        <v>0.517256767312116</v>
      </c>
      <c r="H146" s="31" t="n">
        <f aca="false">(F146-F145)*(G146+G145)</f>
        <v>0.0045130834576677</v>
      </c>
      <c r="I146" s="32" t="n">
        <f aca="false">MIN(10,ROUNDUP(F146*10,0))</f>
        <v>8</v>
      </c>
    </row>
    <row r="147" customFormat="false" ht="15.75" hidden="false" customHeight="true" outlineLevel="0" collapsed="false">
      <c r="A147" s="29" t="n">
        <v>550000</v>
      </c>
      <c r="B147" s="29" t="n">
        <v>2176</v>
      </c>
      <c r="C147" s="29" t="n">
        <f aca="false">A147*B147</f>
        <v>1196800000</v>
      </c>
      <c r="D147" s="29" t="n">
        <f aca="false">SUM($B$3:B147)</f>
        <v>294867</v>
      </c>
      <c r="E147" s="29" t="n">
        <f aca="false">SUM($C$3:C147)</f>
        <v>91711637024.16</v>
      </c>
      <c r="F147" s="30" t="n">
        <f aca="false">D147/$D$222</f>
        <v>0.745766184102704</v>
      </c>
      <c r="G147" s="30" t="n">
        <f aca="false">E147/$E$222</f>
        <v>0.524096009578595</v>
      </c>
      <c r="H147" s="31" t="n">
        <f aca="false">(F147-F146)*(G147+G146)</f>
        <v>0.00573103797412725</v>
      </c>
      <c r="I147" s="32" t="n">
        <f aca="false">MIN(10,ROUNDUP(F147*10,0))</f>
        <v>8</v>
      </c>
    </row>
    <row r="148" customFormat="false" ht="15.75" hidden="false" customHeight="true" outlineLevel="0" collapsed="false">
      <c r="A148" s="29" t="n">
        <v>560432.67</v>
      </c>
      <c r="B148" s="29" t="n">
        <v>909</v>
      </c>
      <c r="C148" s="29" t="n">
        <f aca="false">A148*B148</f>
        <v>509433297.03</v>
      </c>
      <c r="D148" s="29" t="n">
        <f aca="false">SUM($B$3:B148)</f>
        <v>295776</v>
      </c>
      <c r="E148" s="29" t="n">
        <f aca="false">SUM($C$3:C148)</f>
        <v>92221070321.19</v>
      </c>
      <c r="F148" s="30" t="n">
        <f aca="false">D148/$D$222</f>
        <v>0.748065191659838</v>
      </c>
      <c r="G148" s="30" t="n">
        <f aca="false">E148/$E$222</f>
        <v>0.527007220923013</v>
      </c>
      <c r="H148" s="31" t="n">
        <f aca="false">(F148-F147)*(G148+G147)</f>
        <v>0.00241649427025089</v>
      </c>
      <c r="I148" s="32" t="n">
        <f aca="false">MIN(10,ROUNDUP(F148*10,0))</f>
        <v>8</v>
      </c>
    </row>
    <row r="149" customFormat="false" ht="15.75" hidden="false" customHeight="true" outlineLevel="0" collapsed="false">
      <c r="A149" s="29" t="n">
        <v>562500</v>
      </c>
      <c r="B149" s="29" t="n">
        <v>1980</v>
      </c>
      <c r="C149" s="29" t="n">
        <f aca="false">A149*B149</f>
        <v>1113750000</v>
      </c>
      <c r="D149" s="29" t="n">
        <f aca="false">SUM($B$3:B149)</f>
        <v>297756</v>
      </c>
      <c r="E149" s="29" t="n">
        <f aca="false">SUM($C$3:C149)</f>
        <v>93334820321.19</v>
      </c>
      <c r="F149" s="30" t="n">
        <f aca="false">D149/$D$222</f>
        <v>0.753072930893199</v>
      </c>
      <c r="G149" s="30" t="n">
        <f aca="false">E149/$E$222</f>
        <v>0.533371865035891</v>
      </c>
      <c r="H149" s="31" t="n">
        <f aca="false">(F149-F148)*(G149+G148)</f>
        <v>0.00531010195099148</v>
      </c>
      <c r="I149" s="32" t="n">
        <f aca="false">MIN(10,ROUNDUP(F149*10,0))</f>
        <v>8</v>
      </c>
    </row>
    <row r="150" customFormat="false" ht="15.75" hidden="false" customHeight="true" outlineLevel="0" collapsed="false">
      <c r="A150" s="29" t="n">
        <v>562666.67</v>
      </c>
      <c r="B150" s="29" t="n">
        <v>732</v>
      </c>
      <c r="C150" s="29" t="n">
        <f aca="false">A150*B150</f>
        <v>411872002.44</v>
      </c>
      <c r="D150" s="29" t="n">
        <f aca="false">SUM($B$3:B150)</f>
        <v>298488</v>
      </c>
      <c r="E150" s="29" t="n">
        <f aca="false">SUM($C$3:C150)</f>
        <v>93746692323.63</v>
      </c>
      <c r="F150" s="30" t="n">
        <f aca="false">D150/$D$222</f>
        <v>0.754924276912805</v>
      </c>
      <c r="G150" s="30" t="n">
        <f aca="false">E150/$E$222</f>
        <v>0.535725551873681</v>
      </c>
      <c r="H150" s="31" t="n">
        <f aca="false">(F150-F149)*(G150+G149)</f>
        <v>0.00197926924736661</v>
      </c>
      <c r="I150" s="32" t="n">
        <f aca="false">MIN(10,ROUNDUP(F150*10,0))</f>
        <v>8</v>
      </c>
    </row>
    <row r="151" customFormat="false" ht="15.75" hidden="false" customHeight="true" outlineLevel="0" collapsed="false">
      <c r="A151" s="29" t="n">
        <v>564000</v>
      </c>
      <c r="B151" s="29" t="n">
        <v>1047</v>
      </c>
      <c r="C151" s="29" t="n">
        <f aca="false">A151*B151</f>
        <v>590508000</v>
      </c>
      <c r="D151" s="29" t="n">
        <f aca="false">SUM($B$3:B151)</f>
        <v>299535</v>
      </c>
      <c r="E151" s="29" t="n">
        <f aca="false">SUM($C$3:C151)</f>
        <v>94337200323.63</v>
      </c>
      <c r="F151" s="30" t="n">
        <f aca="false">D151/$D$222</f>
        <v>0.757572308719536</v>
      </c>
      <c r="G151" s="30" t="n">
        <f aca="false">E151/$E$222</f>
        <v>0.539100073324461</v>
      </c>
      <c r="H151" s="31" t="n">
        <f aca="false">(F151-F150)*(G151+G150)</f>
        <v>0.00284617244221494</v>
      </c>
      <c r="I151" s="32" t="n">
        <f aca="false">MIN(10,ROUNDUP(F151*10,0))</f>
        <v>8</v>
      </c>
    </row>
    <row r="152" customFormat="false" ht="15.75" hidden="false" customHeight="true" outlineLevel="0" collapsed="false">
      <c r="A152" s="29" t="n">
        <v>564083.33</v>
      </c>
      <c r="B152" s="29" t="n">
        <v>1401</v>
      </c>
      <c r="C152" s="29" t="n">
        <f aca="false">A152*B152</f>
        <v>790280745.33</v>
      </c>
      <c r="D152" s="29" t="n">
        <f aca="false">SUM($B$3:B152)</f>
        <v>300936</v>
      </c>
      <c r="E152" s="29" t="n">
        <f aca="false">SUM($C$3:C152)</f>
        <v>95127481068.96</v>
      </c>
      <c r="F152" s="30" t="n">
        <f aca="false">D152/$D$222</f>
        <v>0.761115663601323</v>
      </c>
      <c r="G152" s="30" t="n">
        <f aca="false">E152/$E$222</f>
        <v>0.54361621760575</v>
      </c>
      <c r="H152" s="31" t="n">
        <f aca="false">(F152-F151)*(G152+G151)</f>
        <v>0.00383644805505779</v>
      </c>
      <c r="I152" s="32" t="n">
        <f aca="false">MIN(10,ROUNDUP(F152*10,0))</f>
        <v>8</v>
      </c>
    </row>
    <row r="153" customFormat="false" ht="15.75" hidden="false" customHeight="true" outlineLevel="0" collapsed="false">
      <c r="A153" s="29" t="n">
        <v>574500</v>
      </c>
      <c r="B153" s="29" t="n">
        <v>784</v>
      </c>
      <c r="C153" s="29" t="n">
        <f aca="false">A153*B153</f>
        <v>450408000</v>
      </c>
      <c r="D153" s="29" t="n">
        <f aca="false">SUM($B$3:B153)</f>
        <v>301720</v>
      </c>
      <c r="E153" s="29" t="n">
        <f aca="false">SUM($C$3:C153)</f>
        <v>95577889068.96</v>
      </c>
      <c r="F153" s="30" t="n">
        <f aca="false">D153/$D$222</f>
        <v>0.763098526004836</v>
      </c>
      <c r="G153" s="30" t="n">
        <f aca="false">E153/$E$222</f>
        <v>0.546190122544554</v>
      </c>
      <c r="H153" s="31" t="n">
        <f aca="false">(F153-F152)*(G153+G152)</f>
        <v>0.00216093601899363</v>
      </c>
      <c r="I153" s="32" t="n">
        <f aca="false">MIN(10,ROUNDUP(F153*10,0))</f>
        <v>8</v>
      </c>
    </row>
    <row r="154" customFormat="false" ht="15.75" hidden="false" customHeight="true" outlineLevel="0" collapsed="false">
      <c r="A154" s="29" t="n">
        <v>575000</v>
      </c>
      <c r="B154" s="29" t="n">
        <v>870</v>
      </c>
      <c r="C154" s="29" t="n">
        <f aca="false">A154*B154</f>
        <v>500250000</v>
      </c>
      <c r="D154" s="29" t="n">
        <f aca="false">SUM($B$3:B154)</f>
        <v>302590</v>
      </c>
      <c r="E154" s="29" t="n">
        <f aca="false">SUM($C$3:C154)</f>
        <v>96078139068.96</v>
      </c>
      <c r="F154" s="30" t="n">
        <f aca="false">D154/$D$222</f>
        <v>0.76529889627404</v>
      </c>
      <c r="G154" s="30" t="n">
        <f aca="false">E154/$E$222</f>
        <v>0.549048854950809</v>
      </c>
      <c r="H154" s="31" t="n">
        <f aca="false">(F154-F153)*(G154+G153)</f>
        <v>0.00240993128375412</v>
      </c>
      <c r="I154" s="32" t="n">
        <f aca="false">MIN(10,ROUNDUP(F154*10,0))</f>
        <v>8</v>
      </c>
    </row>
    <row r="155" customFormat="false" ht="15.75" hidden="false" customHeight="true" outlineLevel="0" collapsed="false">
      <c r="A155" s="29" t="n">
        <v>580000</v>
      </c>
      <c r="B155" s="29" t="n">
        <v>3030</v>
      </c>
      <c r="C155" s="29" t="n">
        <f aca="false">A155*B155</f>
        <v>1757400000</v>
      </c>
      <c r="D155" s="29" t="n">
        <f aca="false">SUM($B$3:B155)</f>
        <v>305620</v>
      </c>
      <c r="E155" s="29" t="n">
        <f aca="false">SUM($C$3:C155)</f>
        <v>97835539068.96</v>
      </c>
      <c r="F155" s="30" t="n">
        <f aca="false">D155/$D$222</f>
        <v>0.772962254797819</v>
      </c>
      <c r="G155" s="30" t="n">
        <f aca="false">E155/$E$222</f>
        <v>0.559091706186697</v>
      </c>
      <c r="H155" s="31" t="n">
        <f aca="false">(F155-F154)*(G155+G154)</f>
        <v>0.00849207841473857</v>
      </c>
      <c r="I155" s="32" t="n">
        <f aca="false">MIN(10,ROUNDUP(F155*10,0))</f>
        <v>8</v>
      </c>
    </row>
    <row r="156" customFormat="false" ht="15.75" hidden="false" customHeight="true" outlineLevel="0" collapsed="false">
      <c r="A156" s="29" t="n">
        <v>587500</v>
      </c>
      <c r="B156" s="29" t="n">
        <v>888</v>
      </c>
      <c r="C156" s="29" t="n">
        <f aca="false">A156*B156</f>
        <v>521700000</v>
      </c>
      <c r="D156" s="29" t="n">
        <f aca="false">SUM($B$3:B156)</f>
        <v>306508</v>
      </c>
      <c r="E156" s="29" t="n">
        <f aca="false">SUM($C$3:C156)</f>
        <v>98357239068.96</v>
      </c>
      <c r="F156" s="30" t="n">
        <f aca="false">D156/$D$222</f>
        <v>0.775208149969144</v>
      </c>
      <c r="G156" s="30" t="n">
        <f aca="false">E156/$E$222</f>
        <v>0.562073016924015</v>
      </c>
      <c r="H156" s="31" t="n">
        <f aca="false">(F156-F155)*(G156+G155)</f>
        <v>0.00251801843789466</v>
      </c>
      <c r="I156" s="32" t="n">
        <f aca="false">MIN(10,ROUNDUP(F156*10,0))</f>
        <v>8</v>
      </c>
    </row>
    <row r="157" customFormat="false" ht="15.75" hidden="false" customHeight="true" outlineLevel="0" collapsed="false">
      <c r="A157" s="29" t="n">
        <v>593538.5</v>
      </c>
      <c r="B157" s="29" t="n">
        <v>2200</v>
      </c>
      <c r="C157" s="29" t="n">
        <f aca="false">A157*B157</f>
        <v>1305784700</v>
      </c>
      <c r="D157" s="29" t="n">
        <f aca="false">SUM($B$3:B157)</f>
        <v>308708</v>
      </c>
      <c r="E157" s="29" t="n">
        <f aca="false">SUM($C$3:C157)</f>
        <v>99663023768.96</v>
      </c>
      <c r="F157" s="30" t="n">
        <f aca="false">D157/$D$222</f>
        <v>0.780772304672878</v>
      </c>
      <c r="G157" s="30" t="n">
        <f aca="false">E157/$E$222</f>
        <v>0.569535063975454</v>
      </c>
      <c r="H157" s="31" t="n">
        <f aca="false">(F157-F156)*(G157+G156)</f>
        <v>0.00629644242612026</v>
      </c>
      <c r="I157" s="32" t="n">
        <f aca="false">MIN(10,ROUNDUP(F157*10,0))</f>
        <v>8</v>
      </c>
    </row>
    <row r="158" customFormat="false" ht="15.75" hidden="false" customHeight="true" outlineLevel="0" collapsed="false">
      <c r="A158" s="29" t="n">
        <v>600000</v>
      </c>
      <c r="B158" s="29" t="n">
        <v>1963</v>
      </c>
      <c r="C158" s="29" t="n">
        <f aca="false">A158*B158</f>
        <v>1177800000</v>
      </c>
      <c r="D158" s="29" t="n">
        <f aca="false">SUM($B$3:B158)</f>
        <v>310671</v>
      </c>
      <c r="E158" s="29" t="n">
        <f aca="false">SUM($C$3:C158)</f>
        <v>100840823768.96</v>
      </c>
      <c r="F158" s="30" t="n">
        <f aca="false">D158/$D$222</f>
        <v>0.785737048165346</v>
      </c>
      <c r="G158" s="30" t="n">
        <f aca="false">E158/$E$222</f>
        <v>0.576265728699268</v>
      </c>
      <c r="H158" s="31" t="n">
        <f aca="false">(F158-F157)*(G158+G157)</f>
        <v>0.00568860702909663</v>
      </c>
      <c r="I158" s="32" t="n">
        <f aca="false">MIN(10,ROUNDUP(F158*10,0))</f>
        <v>8</v>
      </c>
    </row>
    <row r="159" customFormat="false" ht="15.75" hidden="false" customHeight="true" outlineLevel="0" collapsed="false">
      <c r="A159" s="29" t="n">
        <v>605000</v>
      </c>
      <c r="B159" s="29" t="n">
        <v>824</v>
      </c>
      <c r="C159" s="29" t="n">
        <f aca="false">A159*B159</f>
        <v>498520000</v>
      </c>
      <c r="D159" s="29" t="n">
        <f aca="false">SUM($B$3:B159)</f>
        <v>311495</v>
      </c>
      <c r="E159" s="29" t="n">
        <f aca="false">SUM($C$3:C159)</f>
        <v>101339343768.96</v>
      </c>
      <c r="F159" s="30" t="n">
        <f aca="false">D159/$D$222</f>
        <v>0.787821077018018</v>
      </c>
      <c r="G159" s="30" t="n">
        <f aca="false">E159/$E$222</f>
        <v>0.579114574834533</v>
      </c>
      <c r="H159" s="31" t="n">
        <f aca="false">(F159-F158)*(G159+G158)</f>
        <v>0.00240784588837261</v>
      </c>
      <c r="I159" s="32" t="n">
        <f aca="false">MIN(10,ROUNDUP(F159*10,0))</f>
        <v>8</v>
      </c>
    </row>
    <row r="160" customFormat="false" ht="15.75" hidden="false" customHeight="true" outlineLevel="0" collapsed="false">
      <c r="A160" s="29" t="n">
        <v>620000</v>
      </c>
      <c r="B160" s="29" t="n">
        <v>259</v>
      </c>
      <c r="C160" s="29" t="n">
        <f aca="false">A160*B160</f>
        <v>160580000</v>
      </c>
      <c r="D160" s="29" t="n">
        <f aca="false">SUM($B$3:B160)</f>
        <v>311754</v>
      </c>
      <c r="E160" s="29" t="n">
        <f aca="false">SUM($C$3:C160)</f>
        <v>101499923768.96</v>
      </c>
      <c r="F160" s="30" t="n">
        <f aca="false">D160/$D$222</f>
        <v>0.788476129776321</v>
      </c>
      <c r="G160" s="30" t="n">
        <f aca="false">E160/$E$222</f>
        <v>0.580032226508289</v>
      </c>
      <c r="H160" s="31" t="n">
        <f aca="false">(F160-F159)*(G160+G159)</f>
        <v>0.000759302309497996</v>
      </c>
      <c r="I160" s="32" t="n">
        <f aca="false">MIN(10,ROUNDUP(F160*10,0))</f>
        <v>8</v>
      </c>
    </row>
    <row r="161" customFormat="false" ht="15.75" hidden="false" customHeight="true" outlineLevel="0" collapsed="false">
      <c r="A161" s="29" t="n">
        <v>625000</v>
      </c>
      <c r="B161" s="29" t="n">
        <v>568</v>
      </c>
      <c r="C161" s="29" t="n">
        <f aca="false">A161*B161</f>
        <v>355000000</v>
      </c>
      <c r="D161" s="29" t="n">
        <f aca="false">SUM($B$3:B161)</f>
        <v>312322</v>
      </c>
      <c r="E161" s="29" t="n">
        <f aca="false">SUM($C$3:C161)</f>
        <v>101854923768.96</v>
      </c>
      <c r="F161" s="30" t="n">
        <f aca="false">D161/$D$222</f>
        <v>0.789912693354376</v>
      </c>
      <c r="G161" s="30" t="n">
        <f aca="false">E161/$E$222</f>
        <v>0.582060912173897</v>
      </c>
      <c r="H161" s="31" t="n">
        <f aca="false">(F161-F160)*(G161+G160)</f>
        <v>0.00166942067733844</v>
      </c>
      <c r="I161" s="32" t="n">
        <f aca="false">MIN(10,ROUNDUP(F161*10,0))</f>
        <v>8</v>
      </c>
    </row>
    <row r="162" customFormat="false" ht="15.75" hidden="false" customHeight="true" outlineLevel="0" collapsed="false">
      <c r="A162" s="29" t="n">
        <v>633333.33</v>
      </c>
      <c r="B162" s="29" t="n">
        <v>1734</v>
      </c>
      <c r="C162" s="29" t="n">
        <f aca="false">A162*B162</f>
        <v>1098199994.22</v>
      </c>
      <c r="D162" s="29" t="n">
        <f aca="false">SUM($B$3:B162)</f>
        <v>314056</v>
      </c>
      <c r="E162" s="29" t="n">
        <f aca="false">SUM($C$3:C162)</f>
        <v>102953123763.18</v>
      </c>
      <c r="F162" s="30" t="n">
        <f aca="false">D162/$D$222</f>
        <v>0.79429825892541</v>
      </c>
      <c r="G162" s="30" t="n">
        <f aca="false">E162/$E$222</f>
        <v>0.588336694106983</v>
      </c>
      <c r="H162" s="31" t="n">
        <f aca="false">(F162-F161)*(G162+G161)</f>
        <v>0.00513285544652601</v>
      </c>
      <c r="I162" s="32" t="n">
        <f aca="false">MIN(10,ROUNDUP(F162*10,0))</f>
        <v>8</v>
      </c>
    </row>
    <row r="163" customFormat="false" ht="15.75" hidden="false" customHeight="true" outlineLevel="0" collapsed="false">
      <c r="A163" s="29" t="n">
        <v>637500</v>
      </c>
      <c r="B163" s="29" t="n">
        <v>1834</v>
      </c>
      <c r="C163" s="29" t="n">
        <f aca="false">A163*B163</f>
        <v>1169175000</v>
      </c>
      <c r="D163" s="29" t="n">
        <f aca="false">SUM($B$3:B163)</f>
        <v>315890</v>
      </c>
      <c r="E163" s="29" t="n">
        <f aca="false">SUM($C$3:C163)</f>
        <v>104122298763.18</v>
      </c>
      <c r="F163" s="30" t="n">
        <f aca="false">D163/$D$222</f>
        <v>0.798936740619341</v>
      </c>
      <c r="G163" s="30" t="n">
        <f aca="false">E163/$E$222</f>
        <v>0.595018070341033</v>
      </c>
      <c r="H163" s="31" t="n">
        <f aca="false">(F163-F162)*(G163+G162)</f>
        <v>0.00548896941231828</v>
      </c>
      <c r="I163" s="32" t="n">
        <f aca="false">MIN(10,ROUNDUP(F163*10,0))</f>
        <v>8</v>
      </c>
    </row>
    <row r="164" customFormat="false" ht="15.75" hidden="false" customHeight="true" outlineLevel="0" collapsed="false">
      <c r="A164" s="29" t="n">
        <v>640000</v>
      </c>
      <c r="B164" s="29" t="n">
        <v>5598</v>
      </c>
      <c r="C164" s="29" t="n">
        <f aca="false">A164*B164</f>
        <v>3582720000</v>
      </c>
      <c r="D164" s="29" t="n">
        <f aca="false">SUM($B$3:B164)</f>
        <v>321488</v>
      </c>
      <c r="E164" s="29" t="n">
        <f aca="false">SUM($C$3:C164)</f>
        <v>107705018763.18</v>
      </c>
      <c r="F164" s="30" t="n">
        <f aca="false">D164/$D$222</f>
        <v>0.813094985179115</v>
      </c>
      <c r="G164" s="30" t="n">
        <f aca="false">E164/$E$222</f>
        <v>0.615491908954804</v>
      </c>
      <c r="H164" s="31" t="n">
        <f aca="false">(F164-F163)*(G164+G163)</f>
        <v>0.0171386963289176</v>
      </c>
      <c r="I164" s="32" t="n">
        <f aca="false">MIN(10,ROUNDUP(F164*10,0))</f>
        <v>9</v>
      </c>
    </row>
    <row r="165" customFormat="false" ht="15.75" hidden="false" customHeight="true" outlineLevel="0" collapsed="false">
      <c r="A165" s="29" t="n">
        <v>650000</v>
      </c>
      <c r="B165" s="29" t="n">
        <v>3010</v>
      </c>
      <c r="C165" s="29" t="n">
        <f aca="false">A165*B165</f>
        <v>1956500000</v>
      </c>
      <c r="D165" s="29" t="n">
        <f aca="false">SUM($B$3:B165)</f>
        <v>324498</v>
      </c>
      <c r="E165" s="29" t="n">
        <f aca="false">SUM($C$3:C165)</f>
        <v>109661518763.18</v>
      </c>
      <c r="F165" s="30" t="n">
        <f aca="false">D165/$D$222</f>
        <v>0.820707760478315</v>
      </c>
      <c r="G165" s="30" t="n">
        <f aca="false">E165/$E$222</f>
        <v>0.626672538545686</v>
      </c>
      <c r="H165" s="31" t="n">
        <f aca="false">(F165-F164)*(G165+G164)</f>
        <v>0.00945631882347589</v>
      </c>
      <c r="I165" s="32" t="n">
        <f aca="false">MIN(10,ROUNDUP(F165*10,0))</f>
        <v>9</v>
      </c>
    </row>
    <row r="166" customFormat="false" ht="15.75" hidden="false" customHeight="true" outlineLevel="0" collapsed="false">
      <c r="A166" s="29" t="n">
        <v>652000</v>
      </c>
      <c r="B166" s="29" t="n">
        <v>318</v>
      </c>
      <c r="C166" s="29" t="n">
        <f aca="false">A166*B166</f>
        <v>207336000</v>
      </c>
      <c r="D166" s="29" t="n">
        <f aca="false">SUM($B$3:B166)</f>
        <v>324816</v>
      </c>
      <c r="E166" s="29" t="n">
        <f aca="false">SUM($C$3:C166)</f>
        <v>109868854763.18</v>
      </c>
      <c r="F166" s="30" t="n">
        <f aca="false">D166/$D$222</f>
        <v>0.821512033749127</v>
      </c>
      <c r="G166" s="30" t="n">
        <f aca="false">E166/$E$222</f>
        <v>0.627857382408122</v>
      </c>
      <c r="H166" s="31" t="n">
        <f aca="false">(F166-F165)*(G166+G165)</f>
        <v>0.0010089848828576</v>
      </c>
      <c r="I166" s="32" t="n">
        <f aca="false">MIN(10,ROUNDUP(F166*10,0))</f>
        <v>9</v>
      </c>
    </row>
    <row r="167" customFormat="false" ht="15.75" hidden="false" customHeight="true" outlineLevel="0" collapsed="false">
      <c r="A167" s="29" t="n">
        <v>660924.5</v>
      </c>
      <c r="B167" s="29" t="n">
        <v>2394</v>
      </c>
      <c r="C167" s="29" t="n">
        <f aca="false">A167*B167</f>
        <v>1582253253</v>
      </c>
      <c r="D167" s="29" t="n">
        <f aca="false">SUM($B$3:B167)</f>
        <v>327210</v>
      </c>
      <c r="E167" s="29" t="n">
        <f aca="false">SUM($C$3:C167)</f>
        <v>111451108016.18</v>
      </c>
      <c r="F167" s="30" t="n">
        <f aca="false">D167/$D$222</f>
        <v>0.827566845731282</v>
      </c>
      <c r="G167" s="30" t="n">
        <f aca="false">E167/$E$222</f>
        <v>0.636899338728469</v>
      </c>
      <c r="H167" s="31" t="n">
        <f aca="false">(F167-F166)*(G167+G166)</f>
        <v>0.00765786414964801</v>
      </c>
      <c r="I167" s="32" t="n">
        <f aca="false">MIN(10,ROUNDUP(F167*10,0))</f>
        <v>9</v>
      </c>
    </row>
    <row r="168" customFormat="false" ht="15.75" hidden="false" customHeight="true" outlineLevel="0" collapsed="false">
      <c r="A168" s="29" t="n">
        <v>665000</v>
      </c>
      <c r="B168" s="29" t="n">
        <v>860</v>
      </c>
      <c r="C168" s="29" t="n">
        <f aca="false">A168*B168</f>
        <v>571900000</v>
      </c>
      <c r="D168" s="29" t="n">
        <f aca="false">SUM($B$3:B168)</f>
        <v>328070</v>
      </c>
      <c r="E168" s="29" t="n">
        <f aca="false">SUM($C$3:C168)</f>
        <v>112023008016.18</v>
      </c>
      <c r="F168" s="30" t="n">
        <f aca="false">D168/$D$222</f>
        <v>0.829741924388196</v>
      </c>
      <c r="G168" s="30" t="n">
        <f aca="false">E168/$E$222</f>
        <v>0.640167522762727</v>
      </c>
      <c r="H168" s="31" t="n">
        <f aca="false">(F168-F167)*(G168+G167)</f>
        <v>0.00277772087388196</v>
      </c>
      <c r="I168" s="32" t="n">
        <f aca="false">MIN(10,ROUNDUP(F168*10,0))</f>
        <v>9</v>
      </c>
    </row>
    <row r="169" customFormat="false" ht="15.75" hidden="false" customHeight="true" outlineLevel="0" collapsed="false">
      <c r="A169" s="29" t="n">
        <v>666666.67</v>
      </c>
      <c r="B169" s="29" t="n">
        <v>582</v>
      </c>
      <c r="C169" s="29" t="n">
        <f aca="false">A169*B169</f>
        <v>388000001.94</v>
      </c>
      <c r="D169" s="29" t="n">
        <f aca="false">SUM($B$3:B169)</f>
        <v>328652</v>
      </c>
      <c r="E169" s="29" t="n">
        <f aca="false">SUM($C$3:C169)</f>
        <v>112411008018.12</v>
      </c>
      <c r="F169" s="30" t="n">
        <f aca="false">D169/$D$222</f>
        <v>0.831213896223456</v>
      </c>
      <c r="G169" s="30" t="n">
        <f aca="false">E169/$E$222</f>
        <v>0.642384790487211</v>
      </c>
      <c r="H169" s="31" t="n">
        <f aca="false">(F169-F168)*(G169+G168)</f>
        <v>0.0018878808823521</v>
      </c>
      <c r="I169" s="32" t="n">
        <f aca="false">MIN(10,ROUNDUP(F169*10,0))</f>
        <v>9</v>
      </c>
    </row>
    <row r="170" customFormat="false" ht="15.75" hidden="false" customHeight="true" outlineLevel="0" collapsed="false">
      <c r="A170" s="29" t="n">
        <v>670000</v>
      </c>
      <c r="B170" s="29" t="n">
        <v>251</v>
      </c>
      <c r="C170" s="29" t="n">
        <f aca="false">A170*B170</f>
        <v>168170000</v>
      </c>
      <c r="D170" s="29" t="n">
        <f aca="false">SUM($B$3:B170)</f>
        <v>328903</v>
      </c>
      <c r="E170" s="29" t="n">
        <f aca="false">SUM($C$3:C170)</f>
        <v>112579178018.12</v>
      </c>
      <c r="F170" s="30" t="n">
        <f aca="false">D170/$D$222</f>
        <v>0.831848715691928</v>
      </c>
      <c r="G170" s="30" t="n">
        <f aca="false">E170/$E$222</f>
        <v>0.643345816031958</v>
      </c>
      <c r="H170" s="31" t="n">
        <f aca="false">(F170-F169)*(G170+G169)</f>
        <v>0.0008162068202281</v>
      </c>
      <c r="I170" s="32" t="n">
        <f aca="false">MIN(10,ROUNDUP(F170*10,0))</f>
        <v>9</v>
      </c>
    </row>
    <row r="171" customFormat="false" ht="15.75" hidden="false" customHeight="true" outlineLevel="0" collapsed="false">
      <c r="A171" s="29" t="n">
        <v>680000</v>
      </c>
      <c r="B171" s="29" t="n">
        <v>133</v>
      </c>
      <c r="C171" s="29" t="n">
        <f aca="false">A171*B171</f>
        <v>90440000</v>
      </c>
      <c r="D171" s="29" t="n">
        <f aca="false">SUM($B$3:B171)</f>
        <v>329036</v>
      </c>
      <c r="E171" s="29" t="n">
        <f aca="false">SUM($C$3:C171)</f>
        <v>112669618018.12</v>
      </c>
      <c r="F171" s="30" t="n">
        <f aca="false">D171/$D$222</f>
        <v>0.832185094135381</v>
      </c>
      <c r="G171" s="30" t="n">
        <f aca="false">E171/$E$222</f>
        <v>0.64386264513505</v>
      </c>
      <c r="H171" s="31" t="n">
        <f aca="false">(F171-F170)*(G171+G170)</f>
        <v>0.000432989178566776</v>
      </c>
      <c r="I171" s="32" t="n">
        <f aca="false">MIN(10,ROUNDUP(F171*10,0))</f>
        <v>9</v>
      </c>
    </row>
    <row r="172" customFormat="false" ht="15.75" hidden="false" customHeight="true" outlineLevel="0" collapsed="false">
      <c r="A172" s="29" t="n">
        <v>690000</v>
      </c>
      <c r="B172" s="29" t="n">
        <v>915</v>
      </c>
      <c r="C172" s="29" t="n">
        <f aca="false">A172*B172</f>
        <v>631350000</v>
      </c>
      <c r="D172" s="29" t="n">
        <f aca="false">SUM($B$3:B172)</f>
        <v>329951</v>
      </c>
      <c r="E172" s="29" t="n">
        <f aca="false">SUM($C$3:C172)</f>
        <v>113300968018.12</v>
      </c>
      <c r="F172" s="30" t="n">
        <f aca="false">D172/$D$222</f>
        <v>0.834499276659889</v>
      </c>
      <c r="G172" s="30" t="n">
        <f aca="false">E172/$E$222</f>
        <v>0.647470562585704</v>
      </c>
      <c r="H172" s="31" t="n">
        <f aca="false">(F172-F171)*(G172+G171)</f>
        <v>0.00298838074262379</v>
      </c>
      <c r="I172" s="32" t="n">
        <f aca="false">MIN(10,ROUNDUP(F172*10,0))</f>
        <v>9</v>
      </c>
    </row>
    <row r="173" customFormat="false" ht="15.75" hidden="false" customHeight="true" outlineLevel="0" collapsed="false">
      <c r="A173" s="29" t="n">
        <v>693150</v>
      </c>
      <c r="B173" s="29" t="n">
        <v>465</v>
      </c>
      <c r="C173" s="29" t="n">
        <f aca="false">A173*B173</f>
        <v>322314750</v>
      </c>
      <c r="D173" s="29" t="n">
        <f aca="false">SUM($B$3:B173)</f>
        <v>330416</v>
      </c>
      <c r="E173" s="29" t="n">
        <f aca="false">SUM($C$3:C173)</f>
        <v>113623282768.12</v>
      </c>
      <c r="F173" s="30" t="n">
        <f aca="false">D173/$D$222</f>
        <v>0.83567533663136</v>
      </c>
      <c r="G173" s="30" t="n">
        <f aca="false">E173/$E$222</f>
        <v>0.649312464876236</v>
      </c>
      <c r="H173" s="31" t="n">
        <f aca="false">(F173-F172)*(G173+G172)</f>
        <v>0.00152509461028107</v>
      </c>
      <c r="I173" s="32" t="n">
        <f aca="false">MIN(10,ROUNDUP(F173*10,0))</f>
        <v>9</v>
      </c>
    </row>
    <row r="174" customFormat="false" ht="15.75" hidden="false" customHeight="true" outlineLevel="0" collapsed="false">
      <c r="A174" s="29" t="n">
        <v>696000</v>
      </c>
      <c r="B174" s="29" t="n">
        <v>307</v>
      </c>
      <c r="C174" s="29" t="n">
        <f aca="false">A174*B174</f>
        <v>213672000</v>
      </c>
      <c r="D174" s="29" t="n">
        <f aca="false">SUM($B$3:B174)</f>
        <v>330723</v>
      </c>
      <c r="E174" s="29" t="n">
        <f aca="false">SUM($C$3:C174)</f>
        <v>113836954768.12</v>
      </c>
      <c r="F174" s="30" t="n">
        <f aca="false">D174/$D$222</f>
        <v>0.836451789128653</v>
      </c>
      <c r="G174" s="30" t="n">
        <f aca="false">E174/$E$222</f>
        <v>0.650533516491847</v>
      </c>
      <c r="H174" s="31" t="n">
        <f aca="false">(F174-F173)*(G174+G173)</f>
        <v>0.00100926865833049</v>
      </c>
      <c r="I174" s="32" t="n">
        <f aca="false">MIN(10,ROUNDUP(F174*10,0))</f>
        <v>9</v>
      </c>
    </row>
    <row r="175" customFormat="false" ht="15.75" hidden="false" customHeight="true" outlineLevel="0" collapsed="false">
      <c r="A175" s="29" t="n">
        <v>700000</v>
      </c>
      <c r="B175" s="29" t="n">
        <v>2931</v>
      </c>
      <c r="C175" s="29" t="n">
        <f aca="false">A175*B175</f>
        <v>2051700000</v>
      </c>
      <c r="D175" s="29" t="n">
        <f aca="false">SUM($B$3:B175)</f>
        <v>333654</v>
      </c>
      <c r="E175" s="29" t="n">
        <f aca="false">SUM($C$3:C175)</f>
        <v>115888654768.12</v>
      </c>
      <c r="F175" s="30" t="n">
        <f aca="false">D175/$D$222</f>
        <v>0.843864760690765</v>
      </c>
      <c r="G175" s="30" t="n">
        <f aca="false">E175/$E$222</f>
        <v>0.662258176717563</v>
      </c>
      <c r="H175" s="31" t="n">
        <f aca="false">(F175-F174)*(G175+G174)</f>
        <v>0.00973168748873714</v>
      </c>
      <c r="I175" s="32" t="n">
        <f aca="false">MIN(10,ROUNDUP(F175*10,0))</f>
        <v>9</v>
      </c>
    </row>
    <row r="176" customFormat="false" ht="15.75" hidden="false" customHeight="true" outlineLevel="0" collapsed="false">
      <c r="A176" s="29" t="n">
        <v>706666.67</v>
      </c>
      <c r="B176" s="29" t="n">
        <v>1242</v>
      </c>
      <c r="C176" s="29" t="n">
        <f aca="false">A176*B176</f>
        <v>877680004.14</v>
      </c>
      <c r="D176" s="29" t="n">
        <f aca="false">SUM($B$3:B176)</f>
        <v>334896</v>
      </c>
      <c r="E176" s="29" t="n">
        <f aca="false">SUM($C$3:C176)</f>
        <v>116766334772.26</v>
      </c>
      <c r="F176" s="30" t="n">
        <f aca="false">D176/$D$222</f>
        <v>0.847005978937145</v>
      </c>
      <c r="G176" s="30" t="n">
        <f aca="false">E176/$E$222</f>
        <v>0.667273773459506</v>
      </c>
      <c r="H176" s="31" t="n">
        <f aca="false">(F176-F175)*(G176+G175)</f>
        <v>0.00417635002104232</v>
      </c>
      <c r="I176" s="32" t="n">
        <f aca="false">MIN(10,ROUNDUP(F176*10,0))</f>
        <v>9</v>
      </c>
    </row>
    <row r="177" customFormat="false" ht="15.75" hidden="false" customHeight="true" outlineLevel="0" collapsed="false">
      <c r="A177" s="29" t="n">
        <v>707000</v>
      </c>
      <c r="B177" s="29" t="n">
        <v>1432</v>
      </c>
      <c r="C177" s="29" t="n">
        <f aca="false">A177*B177</f>
        <v>1012424000</v>
      </c>
      <c r="D177" s="29" t="n">
        <f aca="false">SUM($B$3:B177)</f>
        <v>336328</v>
      </c>
      <c r="E177" s="29" t="n">
        <f aca="false">SUM($C$3:C177)</f>
        <v>117778758772.26</v>
      </c>
      <c r="F177" s="30" t="n">
        <f aca="false">D177/$D$222</f>
        <v>0.85062773781703</v>
      </c>
      <c r="G177" s="30" t="n">
        <f aca="false">E177/$E$222</f>
        <v>0.673059379251952</v>
      </c>
      <c r="H177" s="31" t="n">
        <f aca="false">(F177-F176)*(G177+G176)</f>
        <v>0.00485436349783717</v>
      </c>
      <c r="I177" s="32" t="n">
        <f aca="false">MIN(10,ROUNDUP(F177*10,0))</f>
        <v>9</v>
      </c>
    </row>
    <row r="178" customFormat="false" ht="15.75" hidden="false" customHeight="true" outlineLevel="0" collapsed="false">
      <c r="A178" s="29" t="n">
        <v>723333.33</v>
      </c>
      <c r="B178" s="29" t="n">
        <v>960</v>
      </c>
      <c r="C178" s="29" t="n">
        <f aca="false">A178*B178</f>
        <v>694399996.8</v>
      </c>
      <c r="D178" s="29" t="n">
        <f aca="false">SUM($B$3:B178)</f>
        <v>337288</v>
      </c>
      <c r="E178" s="29" t="n">
        <f aca="false">SUM($C$3:C178)</f>
        <v>118473158769.06</v>
      </c>
      <c r="F178" s="30" t="n">
        <f aca="false">D178/$D$222</f>
        <v>0.853055732596842</v>
      </c>
      <c r="G178" s="30" t="n">
        <f aca="false">E178/$E$222</f>
        <v>0.677027602687745</v>
      </c>
      <c r="H178" s="31" t="n">
        <f aca="false">(F178-F177)*(G178+G177)</f>
        <v>0.00327800414444057</v>
      </c>
      <c r="I178" s="32" t="n">
        <f aca="false">MIN(10,ROUNDUP(F178*10,0))</f>
        <v>9</v>
      </c>
    </row>
    <row r="179" customFormat="false" ht="15.75" hidden="false" customHeight="true" outlineLevel="0" collapsed="false">
      <c r="A179" s="29" t="n">
        <v>725000</v>
      </c>
      <c r="B179" s="29" t="n">
        <v>3954</v>
      </c>
      <c r="C179" s="29" t="n">
        <f aca="false">A179*B179</f>
        <v>2866650000</v>
      </c>
      <c r="D179" s="29" t="n">
        <f aca="false">SUM($B$3:B179)</f>
        <v>341242</v>
      </c>
      <c r="E179" s="29" t="n">
        <f aca="false">SUM($C$3:C179)</f>
        <v>121339808769.06</v>
      </c>
      <c r="F179" s="30" t="n">
        <f aca="false">D179/$D$222</f>
        <v>0.863056036096189</v>
      </c>
      <c r="G179" s="30" t="n">
        <f aca="false">E179/$E$222</f>
        <v>0.693409382302721</v>
      </c>
      <c r="H179" s="31" t="n">
        <f aca="false">(F179-F178)*(G179+G178)</f>
        <v>0.0137047857766355</v>
      </c>
      <c r="I179" s="32" t="n">
        <f aca="false">MIN(10,ROUNDUP(F179*10,0))</f>
        <v>9</v>
      </c>
    </row>
    <row r="180" customFormat="false" ht="15.75" hidden="false" customHeight="true" outlineLevel="0" collapsed="false">
      <c r="A180" s="29" t="n">
        <v>730000</v>
      </c>
      <c r="B180" s="29" t="n">
        <v>945</v>
      </c>
      <c r="C180" s="29" t="n">
        <f aca="false">A180*B180</f>
        <v>689850000</v>
      </c>
      <c r="D180" s="29" t="n">
        <f aca="false">SUM($B$3:B180)</f>
        <v>342187</v>
      </c>
      <c r="E180" s="29" t="n">
        <f aca="false">SUM($C$3:C180)</f>
        <v>122029658769.06</v>
      </c>
      <c r="F180" s="30" t="n">
        <f aca="false">D180/$D$222</f>
        <v>0.865446093457566</v>
      </c>
      <c r="G180" s="30" t="n">
        <f aca="false">E180/$E$222</f>
        <v>0.697351604292637</v>
      </c>
      <c r="H180" s="31" t="n">
        <f aca="false">(F180-F179)*(G180+G179)</f>
        <v>0.00332399853392769</v>
      </c>
      <c r="I180" s="32" t="n">
        <f aca="false">MIN(10,ROUNDUP(F180*10,0))</f>
        <v>9</v>
      </c>
    </row>
    <row r="181" customFormat="false" ht="15.75" hidden="false" customHeight="true" outlineLevel="0" collapsed="false">
      <c r="A181" s="29" t="n">
        <v>733333.33</v>
      </c>
      <c r="B181" s="29" t="n">
        <v>2046</v>
      </c>
      <c r="C181" s="29" t="n">
        <f aca="false">A181*B181</f>
        <v>1500399993.18</v>
      </c>
      <c r="D181" s="29" t="n">
        <f aca="false">SUM($B$3:B181)</f>
        <v>344233</v>
      </c>
      <c r="E181" s="29" t="n">
        <f aca="false">SUM($C$3:C181)</f>
        <v>123530058762.24</v>
      </c>
      <c r="F181" s="30" t="n">
        <f aca="false">D181/$D$222</f>
        <v>0.870620757332038</v>
      </c>
      <c r="G181" s="30" t="n">
        <f aca="false">E181/$E$222</f>
        <v>0.705925801359801</v>
      </c>
      <c r="H181" s="31" t="n">
        <f aca="false">(F181-F180)*(G181+G180)</f>
        <v>0.00726148889689334</v>
      </c>
      <c r="I181" s="32" t="n">
        <f aca="false">MIN(10,ROUNDUP(F181*10,0))</f>
        <v>9</v>
      </c>
    </row>
    <row r="182" customFormat="false" ht="15.75" hidden="false" customHeight="true" outlineLevel="0" collapsed="false">
      <c r="A182" s="29" t="n">
        <v>735000</v>
      </c>
      <c r="B182" s="29" t="n">
        <v>1472</v>
      </c>
      <c r="C182" s="29" t="n">
        <f aca="false">A182*B182</f>
        <v>1081920000</v>
      </c>
      <c r="D182" s="29" t="n">
        <f aca="false">SUM($B$3:B182)</f>
        <v>345705</v>
      </c>
      <c r="E182" s="29" t="n">
        <f aca="false">SUM($C$3:C182)</f>
        <v>124611978762.24</v>
      </c>
      <c r="F182" s="30" t="n">
        <f aca="false">D182/$D$222</f>
        <v>0.874343682661082</v>
      </c>
      <c r="G182" s="30" t="n">
        <f aca="false">E182/$E$222</f>
        <v>0.712108549515675</v>
      </c>
      <c r="H182" s="31" t="n">
        <f aca="false">(F182-F181)*(G182+G181)</f>
        <v>0.0052792360023287</v>
      </c>
      <c r="I182" s="32" t="n">
        <f aca="false">MIN(10,ROUNDUP(F182*10,0))</f>
        <v>9</v>
      </c>
    </row>
    <row r="183" customFormat="false" ht="15.75" hidden="false" customHeight="true" outlineLevel="0" collapsed="false">
      <c r="A183" s="29" t="n">
        <v>750000</v>
      </c>
      <c r="B183" s="29" t="n">
        <v>3320</v>
      </c>
      <c r="C183" s="29" t="n">
        <f aca="false">A183*B183</f>
        <v>2490000000</v>
      </c>
      <c r="D183" s="29" t="n">
        <f aca="false">SUM($B$3:B183)</f>
        <v>349025</v>
      </c>
      <c r="E183" s="29" t="n">
        <f aca="false">SUM($C$3:C183)</f>
        <v>127101978762.24</v>
      </c>
      <c r="F183" s="30" t="n">
        <f aca="false">D183/$D$222</f>
        <v>0.882740497941263</v>
      </c>
      <c r="G183" s="30" t="n">
        <f aca="false">E183/$E$222</f>
        <v>0.726337922212478</v>
      </c>
      <c r="H183" s="31" t="n">
        <f aca="false">(F183-F182)*(G183+G182)</f>
        <v>0.0120783693135286</v>
      </c>
      <c r="I183" s="32" t="n">
        <f aca="false">MIN(10,ROUNDUP(F183*10,0))</f>
        <v>9</v>
      </c>
    </row>
    <row r="184" customFormat="false" ht="15.75" hidden="false" customHeight="true" outlineLevel="0" collapsed="false">
      <c r="A184" s="29" t="n">
        <v>758333.33</v>
      </c>
      <c r="B184" s="29" t="n">
        <v>2994</v>
      </c>
      <c r="C184" s="29" t="n">
        <f aca="false">A184*B184</f>
        <v>2270449990.02</v>
      </c>
      <c r="D184" s="29" t="n">
        <f aca="false">SUM($B$3:B184)</f>
        <v>352019</v>
      </c>
      <c r="E184" s="29" t="n">
        <f aca="false">SUM($C$3:C184)</f>
        <v>129372428752.26</v>
      </c>
      <c r="F184" s="30" t="n">
        <f aca="false">D184/$D$222</f>
        <v>0.890312806660799</v>
      </c>
      <c r="G184" s="30" t="n">
        <f aca="false">E184/$E$222</f>
        <v>0.739312652773702</v>
      </c>
      <c r="H184" s="31" t="n">
        <f aca="false">(F184-F183)*(G184+G183)</f>
        <v>0.0110983586287612</v>
      </c>
      <c r="I184" s="32" t="n">
        <f aca="false">MIN(10,ROUNDUP(F184*10,0))</f>
        <v>9</v>
      </c>
    </row>
    <row r="185" customFormat="false" ht="15.75" hidden="false" customHeight="true" outlineLevel="0" collapsed="false">
      <c r="A185" s="29" t="n">
        <v>760000</v>
      </c>
      <c r="B185" s="29" t="n">
        <v>1068</v>
      </c>
      <c r="C185" s="29" t="n">
        <f aca="false">A185*B185</f>
        <v>811680000</v>
      </c>
      <c r="D185" s="29" t="n">
        <f aca="false">SUM($B$3:B185)</f>
        <v>353087</v>
      </c>
      <c r="E185" s="29" t="n">
        <f aca="false">SUM($C$3:C185)</f>
        <v>130184108752.26</v>
      </c>
      <c r="F185" s="30" t="n">
        <f aca="false">D185/$D$222</f>
        <v>0.893013950853339</v>
      </c>
      <c r="G185" s="30" t="n">
        <f aca="false">E185/$E$222</f>
        <v>0.743951085396409</v>
      </c>
      <c r="H185" s="31" t="n">
        <f aca="false">(F185-F184)*(G185+G184)</f>
        <v>0.00400650923236333</v>
      </c>
      <c r="I185" s="32" t="n">
        <f aca="false">MIN(10,ROUNDUP(F185*10,0))</f>
        <v>9</v>
      </c>
    </row>
    <row r="186" customFormat="false" ht="15.75" hidden="false" customHeight="true" outlineLevel="0" collapsed="false">
      <c r="A186" s="29" t="n">
        <v>790000</v>
      </c>
      <c r="B186" s="29" t="n">
        <v>384</v>
      </c>
      <c r="C186" s="29" t="n">
        <f aca="false">A186*B186</f>
        <v>303360000</v>
      </c>
      <c r="D186" s="29" t="n">
        <f aca="false">SUM($B$3:B186)</f>
        <v>353471</v>
      </c>
      <c r="E186" s="29" t="n">
        <f aca="false">SUM($C$3:C186)</f>
        <v>130487468752.26</v>
      </c>
      <c r="F186" s="30" t="n">
        <f aca="false">D186/$D$222</f>
        <v>0.893985148765264</v>
      </c>
      <c r="G186" s="30" t="n">
        <f aca="false">E186/$E$222</f>
        <v>0.745684668730265</v>
      </c>
      <c r="H186" s="31" t="n">
        <f aca="false">(F186-F185)*(G186+G185)</f>
        <v>0.00144673113393584</v>
      </c>
      <c r="I186" s="32" t="n">
        <f aca="false">MIN(10,ROUNDUP(F186*10,0))</f>
        <v>9</v>
      </c>
    </row>
    <row r="187" customFormat="false" ht="15.75" hidden="false" customHeight="true" outlineLevel="0" collapsed="false">
      <c r="A187" s="29" t="n">
        <v>799469.33</v>
      </c>
      <c r="B187" s="29" t="n">
        <v>1593</v>
      </c>
      <c r="C187" s="29" t="n">
        <f aca="false">A187*B187</f>
        <v>1273554642.69</v>
      </c>
      <c r="D187" s="29" t="n">
        <f aca="false">SUM($B$3:B187)</f>
        <v>355064</v>
      </c>
      <c r="E187" s="29" t="n">
        <f aca="false">SUM($C$3:C187)</f>
        <v>131761023394.95</v>
      </c>
      <c r="F187" s="30" t="n">
        <f aca="false">D187/$D$222</f>
        <v>0.898014102603013</v>
      </c>
      <c r="G187" s="30" t="n">
        <f aca="false">E187/$E$222</f>
        <v>0.752962533654193</v>
      </c>
      <c r="H187" s="31" t="n">
        <f aca="false">(F187-F186)*(G187+G186)</f>
        <v>0.00603798039747906</v>
      </c>
      <c r="I187" s="32" t="n">
        <f aca="false">MIN(10,ROUNDUP(F187*10,0))</f>
        <v>9</v>
      </c>
    </row>
    <row r="188" customFormat="false" ht="15.75" hidden="false" customHeight="true" outlineLevel="0" collapsed="false">
      <c r="A188" s="29" t="n">
        <v>800000</v>
      </c>
      <c r="B188" s="29" t="n">
        <v>4928</v>
      </c>
      <c r="C188" s="29" t="n">
        <f aca="false">A188*B188</f>
        <v>3942400000</v>
      </c>
      <c r="D188" s="29" t="n">
        <f aca="false">SUM($B$3:B188)</f>
        <v>359992</v>
      </c>
      <c r="E188" s="29" t="n">
        <f aca="false">SUM($C$3:C188)</f>
        <v>135703423394.95</v>
      </c>
      <c r="F188" s="30" t="n">
        <f aca="false">D188/$D$222</f>
        <v>0.910477809139377</v>
      </c>
      <c r="G188" s="30" t="n">
        <f aca="false">E188/$E$222</f>
        <v>0.775491802296714</v>
      </c>
      <c r="H188" s="31" t="n">
        <f aca="false">(F188-F187)*(G188+G187)</f>
        <v>0.0190502062975257</v>
      </c>
      <c r="I188" s="32" t="n">
        <f aca="false">MIN(10,ROUNDUP(F188*10,0))</f>
        <v>10</v>
      </c>
    </row>
    <row r="189" customFormat="false" ht="15.75" hidden="false" customHeight="true" outlineLevel="0" collapsed="false">
      <c r="A189" s="29" t="n">
        <v>802596</v>
      </c>
      <c r="B189" s="29" t="n">
        <v>295</v>
      </c>
      <c r="C189" s="29" t="n">
        <f aca="false">A189*B189</f>
        <v>236765820</v>
      </c>
      <c r="D189" s="29" t="n">
        <f aca="false">SUM($B$3:B189)</f>
        <v>360287</v>
      </c>
      <c r="E189" s="29" t="n">
        <f aca="false">SUM($C$3:C189)</f>
        <v>135940189214.95</v>
      </c>
      <c r="F189" s="30" t="n">
        <f aca="false">D189/$D$222</f>
        <v>0.911223911701923</v>
      </c>
      <c r="G189" s="30" t="n">
        <f aca="false">E189/$E$222</f>
        <v>0.776844826029503</v>
      </c>
      <c r="H189" s="31" t="n">
        <f aca="false">(F189-F188)*(G189+G188)</f>
        <v>0.00115820233632844</v>
      </c>
      <c r="I189" s="32" t="n">
        <f aca="false">MIN(10,ROUNDUP(F189*10,0))</f>
        <v>10</v>
      </c>
    </row>
    <row r="190" customFormat="false" ht="15.75" hidden="false" customHeight="true" outlineLevel="0" collapsed="false">
      <c r="A190" s="29" t="n">
        <v>813333.33</v>
      </c>
      <c r="B190" s="29" t="n">
        <v>858</v>
      </c>
      <c r="C190" s="29" t="n">
        <f aca="false">A190*B190</f>
        <v>697839997.14</v>
      </c>
      <c r="D190" s="29" t="n">
        <f aca="false">SUM($B$3:B190)</f>
        <v>361145</v>
      </c>
      <c r="E190" s="29" t="n">
        <f aca="false">SUM($C$3:C190)</f>
        <v>136638029212.09</v>
      </c>
      <c r="F190" s="30" t="n">
        <f aca="false">D190/$D$222</f>
        <v>0.913393932036379</v>
      </c>
      <c r="G190" s="30" t="n">
        <f aca="false">E190/$E$222</f>
        <v>0.780832707717069</v>
      </c>
      <c r="H190" s="31" t="n">
        <f aca="false">(F190-F189)*(G190+G189)</f>
        <v>0.0033801919227557</v>
      </c>
      <c r="I190" s="32" t="n">
        <f aca="false">MIN(10,ROUNDUP(F190*10,0))</f>
        <v>10</v>
      </c>
    </row>
    <row r="191" customFormat="false" ht="15.75" hidden="false" customHeight="true" outlineLevel="0" collapsed="false">
      <c r="A191" s="29" t="n">
        <v>820000</v>
      </c>
      <c r="B191" s="29" t="n">
        <v>714</v>
      </c>
      <c r="C191" s="29" t="n">
        <f aca="false">A191*B191</f>
        <v>585480000</v>
      </c>
      <c r="D191" s="29" t="n">
        <f aca="false">SUM($B$3:B191)</f>
        <v>361859</v>
      </c>
      <c r="E191" s="29" t="n">
        <f aca="false">SUM($C$3:C191)</f>
        <v>137223509212.09</v>
      </c>
      <c r="F191" s="30" t="n">
        <f aca="false">D191/$D$222</f>
        <v>0.915199753153864</v>
      </c>
      <c r="G191" s="30" t="n">
        <f aca="false">E191/$E$222</f>
        <v>0.784178496121296</v>
      </c>
      <c r="H191" s="31" t="n">
        <f aca="false">(F191-F190)*(G191+G190)</f>
        <v>0.00282613028099134</v>
      </c>
      <c r="I191" s="32" t="n">
        <f aca="false">MIN(10,ROUNDUP(F191*10,0))</f>
        <v>10</v>
      </c>
    </row>
    <row r="192" customFormat="false" ht="15.75" hidden="false" customHeight="true" outlineLevel="0" collapsed="false">
      <c r="A192" s="29" t="n">
        <v>822077</v>
      </c>
      <c r="B192" s="29" t="n">
        <v>536</v>
      </c>
      <c r="C192" s="29" t="n">
        <f aca="false">A192*B192</f>
        <v>440633272</v>
      </c>
      <c r="D192" s="29" t="n">
        <f aca="false">SUM($B$3:B192)</f>
        <v>362395</v>
      </c>
      <c r="E192" s="29" t="n">
        <f aca="false">SUM($C$3:C192)</f>
        <v>137664142484.09</v>
      </c>
      <c r="F192" s="30" t="n">
        <f aca="false">D192/$D$222</f>
        <v>0.916555383572592</v>
      </c>
      <c r="G192" s="30" t="n">
        <f aca="false">E192/$E$222</f>
        <v>0.786696542326075</v>
      </c>
      <c r="H192" s="31" t="n">
        <f aca="false">(F192-F191)*(G192+G191)</f>
        <v>0.00212952598613976</v>
      </c>
      <c r="I192" s="32" t="n">
        <f aca="false">MIN(10,ROUNDUP(F192*10,0))</f>
        <v>10</v>
      </c>
    </row>
    <row r="193" customFormat="false" ht="15.75" hidden="false" customHeight="true" outlineLevel="0" collapsed="false">
      <c r="A193" s="29" t="n">
        <v>825000</v>
      </c>
      <c r="B193" s="29" t="n">
        <v>506</v>
      </c>
      <c r="C193" s="29" t="n">
        <f aca="false">A193*B193</f>
        <v>417450000</v>
      </c>
      <c r="D193" s="29" t="n">
        <f aca="false">SUM($B$3:B193)</f>
        <v>362901</v>
      </c>
      <c r="E193" s="29" t="n">
        <f aca="false">SUM($C$3:C193)</f>
        <v>138081592484.09</v>
      </c>
      <c r="F193" s="30" t="n">
        <f aca="false">D193/$D$222</f>
        <v>0.917835139154451</v>
      </c>
      <c r="G193" s="30" t="n">
        <f aca="false">E193/$E$222</f>
        <v>0.789082105230605</v>
      </c>
      <c r="H193" s="31" t="n">
        <f aca="false">(F193-F192)*(G193+G192)</f>
        <v>0.00201661151998454</v>
      </c>
      <c r="I193" s="32" t="n">
        <f aca="false">MIN(10,ROUNDUP(F193*10,0))</f>
        <v>10</v>
      </c>
    </row>
    <row r="194" customFormat="false" ht="15.75" hidden="false" customHeight="true" outlineLevel="0" collapsed="false">
      <c r="A194" s="29" t="n">
        <v>845000</v>
      </c>
      <c r="B194" s="29" t="n">
        <v>1298</v>
      </c>
      <c r="C194" s="29" t="n">
        <f aca="false">A194*B194</f>
        <v>1096810000</v>
      </c>
      <c r="D194" s="29" t="n">
        <f aca="false">SUM($B$3:B194)</f>
        <v>364199</v>
      </c>
      <c r="E194" s="29" t="n">
        <f aca="false">SUM($C$3:C194)</f>
        <v>139178402484.09</v>
      </c>
      <c r="F194" s="30" t="n">
        <f aca="false">D194/$D$222</f>
        <v>0.921117990429654</v>
      </c>
      <c r="G194" s="30" t="n">
        <f aca="false">E194/$E$222</f>
        <v>0.795349943892284</v>
      </c>
      <c r="H194" s="31" t="n">
        <f aca="false">(F194-F193)*(G194+G193)</f>
        <v>0.00520145477293576</v>
      </c>
      <c r="I194" s="32" t="n">
        <f aca="false">MIN(10,ROUNDUP(F194*10,0))</f>
        <v>10</v>
      </c>
    </row>
    <row r="195" customFormat="false" ht="15.75" hidden="false" customHeight="true" outlineLevel="0" collapsed="false">
      <c r="A195" s="29" t="n">
        <v>849500</v>
      </c>
      <c r="B195" s="29" t="n">
        <v>632</v>
      </c>
      <c r="C195" s="29" t="n">
        <f aca="false">A195*B195</f>
        <v>536884000</v>
      </c>
      <c r="D195" s="29" t="n">
        <f aca="false">SUM($B$3:B195)</f>
        <v>364831</v>
      </c>
      <c r="E195" s="29" t="n">
        <f aca="false">SUM($C$3:C195)</f>
        <v>139715286484.09</v>
      </c>
      <c r="F195" s="30" t="n">
        <f aca="false">D195/$D$222</f>
        <v>0.922716420326363</v>
      </c>
      <c r="G195" s="30" t="n">
        <f aca="false">E195/$E$222</f>
        <v>0.798418025230015</v>
      </c>
      <c r="H195" s="31" t="n">
        <f aca="false">(F195-F194)*(G195+G194)</f>
        <v>0.00254752637026227</v>
      </c>
      <c r="I195" s="32" t="n">
        <f aca="false">MIN(10,ROUNDUP(F195*10,0))</f>
        <v>10</v>
      </c>
    </row>
    <row r="196" customFormat="false" ht="15.75" hidden="false" customHeight="true" outlineLevel="0" collapsed="false">
      <c r="A196" s="29" t="n">
        <v>850000</v>
      </c>
      <c r="B196" s="29" t="n">
        <v>2102</v>
      </c>
      <c r="C196" s="29" t="n">
        <f aca="false">A196*B196</f>
        <v>1786700000</v>
      </c>
      <c r="D196" s="29" t="n">
        <f aca="false">SUM($B$3:B196)</f>
        <v>366933</v>
      </c>
      <c r="E196" s="29" t="n">
        <f aca="false">SUM($C$3:C196)</f>
        <v>141501986484.09</v>
      </c>
      <c r="F196" s="30" t="n">
        <f aca="false">D196/$D$222</f>
        <v>0.928032717229658</v>
      </c>
      <c r="G196" s="30" t="n">
        <f aca="false">E196/$E$222</f>
        <v>0.80862831446591</v>
      </c>
      <c r="H196" s="31" t="n">
        <f aca="false">(F196-F195)*(G196+G195)</f>
        <v>0.00854353547917709</v>
      </c>
      <c r="I196" s="32" t="n">
        <f aca="false">MIN(10,ROUNDUP(F196*10,0))</f>
        <v>10</v>
      </c>
    </row>
    <row r="197" customFormat="false" ht="15.75" hidden="false" customHeight="true" outlineLevel="0" collapsed="false">
      <c r="A197" s="29" t="n">
        <v>900000</v>
      </c>
      <c r="B197" s="29" t="n">
        <v>676</v>
      </c>
      <c r="C197" s="29" t="n">
        <f aca="false">A197*B197</f>
        <v>608400000</v>
      </c>
      <c r="D197" s="29" t="n">
        <f aca="false">SUM($B$3:B197)</f>
        <v>367609</v>
      </c>
      <c r="E197" s="29" t="n">
        <f aca="false">SUM($C$3:C197)</f>
        <v>142110386484.09</v>
      </c>
      <c r="F197" s="30" t="n">
        <f aca="false">D197/$D$222</f>
        <v>0.929742430220442</v>
      </c>
      <c r="G197" s="30" t="n">
        <f aca="false">E197/$E$222</f>
        <v>0.812105081674238</v>
      </c>
      <c r="H197" s="31" t="n">
        <f aca="false">(F197-F196)*(G197+G196)</f>
        <v>0.00277098894197781</v>
      </c>
      <c r="I197" s="32" t="n">
        <f aca="false">MIN(10,ROUNDUP(F197*10,0))</f>
        <v>10</v>
      </c>
    </row>
    <row r="198" customFormat="false" ht="15.75" hidden="false" customHeight="true" outlineLevel="0" collapsed="false">
      <c r="A198" s="29" t="n">
        <v>913333.33</v>
      </c>
      <c r="B198" s="29" t="n">
        <v>576</v>
      </c>
      <c r="C198" s="29" t="n">
        <f aca="false">A198*B198</f>
        <v>526079998.08</v>
      </c>
      <c r="D198" s="29" t="n">
        <f aca="false">SUM($B$3:B198)</f>
        <v>368185</v>
      </c>
      <c r="E198" s="29" t="n">
        <f aca="false">SUM($C$3:C198)</f>
        <v>142636466482.17</v>
      </c>
      <c r="F198" s="30" t="n">
        <f aca="false">D198/$D$222</f>
        <v>0.931199227088329</v>
      </c>
      <c r="G198" s="30" t="n">
        <f aca="false">E198/$E$222</f>
        <v>0.815111422381472</v>
      </c>
      <c r="H198" s="31" t="n">
        <f aca="false">(F198-F197)*(G198+G197)</f>
        <v>0.00237052390648207</v>
      </c>
      <c r="I198" s="32" t="n">
        <f aca="false">MIN(10,ROUNDUP(F198*10,0))</f>
        <v>10</v>
      </c>
    </row>
    <row r="199" customFormat="false" ht="15.75" hidden="false" customHeight="true" outlineLevel="0" collapsed="false">
      <c r="A199" s="29" t="n">
        <v>950000</v>
      </c>
      <c r="B199" s="29" t="n">
        <v>2668</v>
      </c>
      <c r="C199" s="29" t="n">
        <f aca="false">A199*B199</f>
        <v>2534600000</v>
      </c>
      <c r="D199" s="29" t="n">
        <f aca="false">SUM($B$3:B199)</f>
        <v>370853</v>
      </c>
      <c r="E199" s="29" t="n">
        <f aca="false">SUM($C$3:C199)</f>
        <v>145171066482.17</v>
      </c>
      <c r="F199" s="30" t="n">
        <f aca="false">D199/$D$222</f>
        <v>0.93794702924722</v>
      </c>
      <c r="G199" s="30" t="n">
        <f aca="false">E199/$E$222</f>
        <v>0.829595666573166</v>
      </c>
      <c r="H199" s="31" t="n">
        <f aca="false">(F199-F198)*(G199+G198)</f>
        <v>0.011098158045593</v>
      </c>
      <c r="I199" s="32" t="n">
        <f aca="false">MIN(10,ROUNDUP(F199*10,0))</f>
        <v>10</v>
      </c>
    </row>
    <row r="200" customFormat="false" ht="15.75" hidden="false" customHeight="true" outlineLevel="0" collapsed="false">
      <c r="A200" s="29" t="n">
        <v>954000</v>
      </c>
      <c r="B200" s="29" t="n">
        <v>174</v>
      </c>
      <c r="C200" s="29" t="n">
        <f aca="false">A200*B200</f>
        <v>165996000</v>
      </c>
      <c r="D200" s="29" t="n">
        <f aca="false">SUM($B$3:B200)</f>
        <v>371027</v>
      </c>
      <c r="E200" s="29" t="n">
        <f aca="false">SUM($C$3:C200)</f>
        <v>145337062482.17</v>
      </c>
      <c r="F200" s="30" t="n">
        <f aca="false">D200/$D$222</f>
        <v>0.938387103301061</v>
      </c>
      <c r="G200" s="30" t="n">
        <f aca="false">E200/$E$222</f>
        <v>0.830544268561189</v>
      </c>
      <c r="H200" s="31" t="n">
        <f aca="false">(F200-F199)*(G200+G199)</f>
        <v>0.000730584511197633</v>
      </c>
      <c r="I200" s="32" t="n">
        <f aca="false">MIN(10,ROUNDUP(F200*10,0))</f>
        <v>10</v>
      </c>
    </row>
    <row r="201" customFormat="false" ht="15.75" hidden="false" customHeight="true" outlineLevel="0" collapsed="false">
      <c r="A201" s="29" t="n">
        <v>975000</v>
      </c>
      <c r="B201" s="29" t="n">
        <v>1208</v>
      </c>
      <c r="C201" s="29" t="n">
        <f aca="false">A201*B201</f>
        <v>1177800000</v>
      </c>
      <c r="D201" s="29" t="n">
        <f aca="false">SUM($B$3:B201)</f>
        <v>372235</v>
      </c>
      <c r="E201" s="29" t="n">
        <f aca="false">SUM($C$3:C201)</f>
        <v>146514862482.17</v>
      </c>
      <c r="F201" s="30" t="n">
        <f aca="false">D201/$D$222</f>
        <v>0.941442330065657</v>
      </c>
      <c r="G201" s="30" t="n">
        <f aca="false">E201/$E$222</f>
        <v>0.837274933285002</v>
      </c>
      <c r="H201" s="31" t="n">
        <f aca="false">(F201-F200)*(G201+G200)</f>
        <v>0.00509556586398729</v>
      </c>
      <c r="I201" s="32" t="n">
        <f aca="false">MIN(10,ROUNDUP(F201*10,0))</f>
        <v>10</v>
      </c>
    </row>
    <row r="202" customFormat="false" ht="15.75" hidden="false" customHeight="true" outlineLevel="0" collapsed="false">
      <c r="A202" s="29" t="n">
        <v>1000000</v>
      </c>
      <c r="B202" s="29" t="n">
        <v>7296</v>
      </c>
      <c r="C202" s="29" t="n">
        <f aca="false">A202*B202</f>
        <v>7296000000</v>
      </c>
      <c r="D202" s="29" t="n">
        <f aca="false">SUM($B$3:B202)</f>
        <v>379531</v>
      </c>
      <c r="E202" s="29" t="n">
        <f aca="false">SUM($C$3:C202)</f>
        <v>153810862482.17</v>
      </c>
      <c r="F202" s="30" t="n">
        <f aca="false">D202/$D$222</f>
        <v>0.959895090392222</v>
      </c>
      <c r="G202" s="30" t="n">
        <f aca="false">E202/$E$222</f>
        <v>0.878968709668888</v>
      </c>
      <c r="H202" s="31" t="n">
        <f aca="false">(F202-F201)*(G202+G201)</f>
        <v>0.0316694326054194</v>
      </c>
      <c r="I202" s="32" t="n">
        <f aca="false">MIN(10,ROUNDUP(F202*10,0))</f>
        <v>10</v>
      </c>
    </row>
    <row r="203" customFormat="false" ht="15.75" hidden="false" customHeight="true" outlineLevel="0" collapsed="false">
      <c r="A203" s="29" t="n">
        <v>1095138.5</v>
      </c>
      <c r="B203" s="29" t="n">
        <v>694</v>
      </c>
      <c r="C203" s="29" t="n">
        <f aca="false">A203*B203</f>
        <v>760026119</v>
      </c>
      <c r="D203" s="29" t="n">
        <f aca="false">SUM($B$3:B203)</f>
        <v>380225</v>
      </c>
      <c r="E203" s="29" t="n">
        <f aca="false">SUM($C$3:C203)</f>
        <v>154570888601.17</v>
      </c>
      <c r="F203" s="30" t="n">
        <f aca="false">D203/$D$222</f>
        <v>0.961650328285128</v>
      </c>
      <c r="G203" s="30" t="n">
        <f aca="false">E203/$E$222</f>
        <v>0.883311960635377</v>
      </c>
      <c r="H203" s="31" t="n">
        <f aca="false">(F203-F202)*(G203+G202)</f>
        <v>0.00309322181045245</v>
      </c>
      <c r="I203" s="32" t="n">
        <f aca="false">MIN(10,ROUNDUP(F203*10,0))</f>
        <v>10</v>
      </c>
    </row>
    <row r="204" customFormat="false" ht="15.75" hidden="false" customHeight="true" outlineLevel="0" collapsed="false">
      <c r="A204" s="29" t="n">
        <v>1100000</v>
      </c>
      <c r="B204" s="29" t="n">
        <v>1892</v>
      </c>
      <c r="C204" s="29" t="n">
        <f aca="false">A204*B204</f>
        <v>2081200000</v>
      </c>
      <c r="D204" s="29" t="n">
        <f aca="false">SUM($B$3:B204)</f>
        <v>382117</v>
      </c>
      <c r="E204" s="29" t="n">
        <f aca="false">SUM($C$3:C204)</f>
        <v>156652088601.17</v>
      </c>
      <c r="F204" s="30" t="n">
        <f aca="false">D204/$D$222</f>
        <v>0.966435501330339</v>
      </c>
      <c r="G204" s="30" t="n">
        <f aca="false">E204/$E$222</f>
        <v>0.8952052017826</v>
      </c>
      <c r="H204" s="31" t="n">
        <f aca="false">(F204-F203)*(G204+G203)</f>
        <v>0.00851051238604821</v>
      </c>
      <c r="I204" s="32" t="n">
        <f aca="false">MIN(10,ROUNDUP(F204*10,0))</f>
        <v>10</v>
      </c>
    </row>
    <row r="205" customFormat="false" ht="15.75" hidden="false" customHeight="true" outlineLevel="0" collapsed="false">
      <c r="A205" s="29" t="n">
        <v>1112500</v>
      </c>
      <c r="B205" s="29" t="n">
        <v>1056</v>
      </c>
      <c r="C205" s="29" t="n">
        <f aca="false">A205*B205</f>
        <v>1174800000</v>
      </c>
      <c r="D205" s="29" t="n">
        <f aca="false">SUM($B$3:B205)</f>
        <v>383173</v>
      </c>
      <c r="E205" s="29" t="n">
        <f aca="false">SUM($C$3:C205)</f>
        <v>157826888601.17</v>
      </c>
      <c r="F205" s="30" t="n">
        <f aca="false">D205/$D$222</f>
        <v>0.969106295588131</v>
      </c>
      <c r="G205" s="30" t="n">
        <f aca="false">E205/$E$222</f>
        <v>0.901918722683887</v>
      </c>
      <c r="H205" s="31" t="n">
        <f aca="false">(F205-F204)*(G205+G204)</f>
        <v>0.00479974825800619</v>
      </c>
      <c r="I205" s="32" t="n">
        <f aca="false">MIN(10,ROUNDUP(F205*10,0))</f>
        <v>10</v>
      </c>
    </row>
    <row r="206" customFormat="false" ht="15.75" hidden="false" customHeight="true" outlineLevel="0" collapsed="false">
      <c r="A206" s="29" t="n">
        <v>1145000</v>
      </c>
      <c r="B206" s="29" t="n">
        <v>392</v>
      </c>
      <c r="C206" s="29" t="n">
        <f aca="false">A206*B206</f>
        <v>448840000</v>
      </c>
      <c r="D206" s="29" t="n">
        <f aca="false">SUM($B$3:B206)</f>
        <v>383565</v>
      </c>
      <c r="E206" s="29" t="n">
        <f aca="false">SUM($C$3:C206)</f>
        <v>158275728601.17</v>
      </c>
      <c r="F206" s="30" t="n">
        <f aca="false">D206/$D$222</f>
        <v>0.970097726789887</v>
      </c>
      <c r="G206" s="30" t="n">
        <f aca="false">E206/$E$222</f>
        <v>0.904483667118117</v>
      </c>
      <c r="H206" s="31" t="n">
        <f aca="false">(F206-F205)*(G206+G205)</f>
        <v>0.00179092369217679</v>
      </c>
      <c r="I206" s="32" t="n">
        <f aca="false">MIN(10,ROUNDUP(F206*10,0))</f>
        <v>10</v>
      </c>
    </row>
    <row r="207" customFormat="false" ht="15.75" hidden="false" customHeight="true" outlineLevel="0" collapsed="false">
      <c r="A207" s="29" t="n">
        <v>1150000</v>
      </c>
      <c r="B207" s="29" t="n">
        <v>454</v>
      </c>
      <c r="C207" s="29" t="n">
        <f aca="false">A207*B207</f>
        <v>522100000</v>
      </c>
      <c r="D207" s="29" t="n">
        <f aca="false">SUM($B$3:B207)</f>
        <v>384019</v>
      </c>
      <c r="E207" s="29" t="n">
        <f aca="false">SUM($C$3:C207)</f>
        <v>158797828601.17</v>
      </c>
      <c r="F207" s="30" t="n">
        <f aca="false">D207/$D$222</f>
        <v>0.97124596598784</v>
      </c>
      <c r="G207" s="30" t="n">
        <f aca="false">E207/$E$222</f>
        <v>0.907467263698439</v>
      </c>
      <c r="H207" s="31" t="n">
        <f aca="false">(F207-F206)*(G207+G206)</f>
        <v>0.00208055308352986</v>
      </c>
      <c r="I207" s="32" t="n">
        <f aca="false">MIN(10,ROUNDUP(F207*10,0))</f>
        <v>10</v>
      </c>
    </row>
    <row r="208" customFormat="false" ht="15.75" hidden="false" customHeight="true" outlineLevel="0" collapsed="false">
      <c r="A208" s="29" t="n">
        <v>1173333.33</v>
      </c>
      <c r="B208" s="29" t="n">
        <v>1269</v>
      </c>
      <c r="C208" s="29" t="n">
        <f aca="false">A208*B208</f>
        <v>1488959995.77</v>
      </c>
      <c r="D208" s="29" t="n">
        <f aca="false">SUM($B$3:B208)</f>
        <v>385288</v>
      </c>
      <c r="E208" s="29" t="n">
        <f aca="false">SUM($C$3:C208)</f>
        <v>160286788596.94</v>
      </c>
      <c r="F208" s="30" t="n">
        <f aca="false">D208/$D$222</f>
        <v>0.974455471587403</v>
      </c>
      <c r="G208" s="30" t="n">
        <f aca="false">E208/$E$222</f>
        <v>0.915976085670504</v>
      </c>
      <c r="H208" s="31" t="n">
        <f aca="false">(F208-F207)*(G208+G207)</f>
        <v>0.00585235164028555</v>
      </c>
      <c r="I208" s="32" t="n">
        <f aca="false">MIN(10,ROUNDUP(F208*10,0))</f>
        <v>10</v>
      </c>
    </row>
    <row r="209" customFormat="false" ht="15.75" hidden="false" customHeight="true" outlineLevel="0" collapsed="false">
      <c r="A209" s="29" t="n">
        <v>1187500</v>
      </c>
      <c r="B209" s="29" t="n">
        <v>2220</v>
      </c>
      <c r="C209" s="29" t="n">
        <f aca="false">A209*B209</f>
        <v>2636250000</v>
      </c>
      <c r="D209" s="29" t="n">
        <f aca="false">SUM($B$3:B209)</f>
        <v>387508</v>
      </c>
      <c r="E209" s="29" t="n">
        <f aca="false">SUM($C$3:C209)</f>
        <v>162923038596.94</v>
      </c>
      <c r="F209" s="30" t="n">
        <f aca="false">D209/$D$222</f>
        <v>0.980070209515716</v>
      </c>
      <c r="G209" s="30" t="n">
        <f aca="false">E209/$E$222</f>
        <v>0.931041219715462</v>
      </c>
      <c r="H209" s="31" t="n">
        <f aca="false">(F209-F208)*(G209+G208)</f>
        <v>0.0103705181188019</v>
      </c>
      <c r="I209" s="32" t="n">
        <f aca="false">MIN(10,ROUNDUP(F209*10,0))</f>
        <v>10</v>
      </c>
    </row>
    <row r="210" customFormat="false" ht="15.75" hidden="false" customHeight="true" outlineLevel="0" collapsed="false">
      <c r="A210" s="29" t="n">
        <v>1216666.67</v>
      </c>
      <c r="B210" s="29" t="n">
        <v>702</v>
      </c>
      <c r="C210" s="29" t="n">
        <f aca="false">A210*B210</f>
        <v>854100002.34</v>
      </c>
      <c r="D210" s="29" t="n">
        <f aca="false">SUM($B$3:B210)</f>
        <v>388210</v>
      </c>
      <c r="E210" s="29" t="n">
        <f aca="false">SUM($C$3:C210)</f>
        <v>163777138599.28</v>
      </c>
      <c r="F210" s="30" t="n">
        <f aca="false">D210/$D$222</f>
        <v>0.981845680698453</v>
      </c>
      <c r="G210" s="30" t="n">
        <f aca="false">E210/$E$222</f>
        <v>0.935922066002063</v>
      </c>
      <c r="H210" s="31" t="n">
        <f aca="false">(F210-F209)*(G210+G209)</f>
        <v>0.00331473951301928</v>
      </c>
      <c r="I210" s="32" t="n">
        <f aca="false">MIN(10,ROUNDUP(F210*10,0))</f>
        <v>10</v>
      </c>
    </row>
    <row r="211" customFormat="false" ht="15.75" hidden="false" customHeight="true" outlineLevel="0" collapsed="false">
      <c r="A211" s="29" t="n">
        <v>1235000</v>
      </c>
      <c r="B211" s="29" t="n">
        <v>347</v>
      </c>
      <c r="C211" s="29" t="n">
        <f aca="false">A211*B211</f>
        <v>428545000</v>
      </c>
      <c r="D211" s="29" t="n">
        <f aca="false">SUM($B$3:B211)</f>
        <v>388557</v>
      </c>
      <c r="E211" s="29" t="n">
        <f aca="false">SUM($C$3:C211)</f>
        <v>164205683599.28</v>
      </c>
      <c r="F211" s="30" t="n">
        <f aca="false">D211/$D$222</f>
        <v>0.982723299644906</v>
      </c>
      <c r="G211" s="30" t="n">
        <f aca="false">E211/$E$222</f>
        <v>0.938371032476903</v>
      </c>
      <c r="H211" s="31" t="n">
        <f aca="false">(F211-F210)*(G211+G210)</f>
        <v>0.00164491513443061</v>
      </c>
      <c r="I211" s="32" t="n">
        <f aca="false">MIN(10,ROUNDUP(F211*10,0))</f>
        <v>10</v>
      </c>
    </row>
    <row r="212" customFormat="false" ht="15.75" hidden="false" customHeight="true" outlineLevel="0" collapsed="false">
      <c r="A212" s="29" t="n">
        <v>1300000</v>
      </c>
      <c r="B212" s="29" t="n">
        <v>608</v>
      </c>
      <c r="C212" s="29" t="n">
        <f aca="false">A212*B212</f>
        <v>790400000</v>
      </c>
      <c r="D212" s="29" t="n">
        <f aca="false">SUM($B$3:B212)</f>
        <v>389165</v>
      </c>
      <c r="E212" s="29" t="n">
        <f aca="false">SUM($C$3:C212)</f>
        <v>164996083599.28</v>
      </c>
      <c r="F212" s="30" t="n">
        <f aca="false">D212/$D$222</f>
        <v>0.98426102967212</v>
      </c>
      <c r="G212" s="30" t="n">
        <f aca="false">E212/$E$222</f>
        <v>0.942887858251824</v>
      </c>
      <c r="H212" s="31" t="n">
        <f aca="false">(F212-F211)*(G212+G211)</f>
        <v>0.00289286828523649</v>
      </c>
      <c r="I212" s="32" t="n">
        <f aca="false">MIN(10,ROUNDUP(F212*10,0))</f>
        <v>10</v>
      </c>
    </row>
    <row r="213" customFormat="false" ht="15.75" hidden="false" customHeight="true" outlineLevel="0" collapsed="false">
      <c r="A213" s="29" t="n">
        <v>1325000</v>
      </c>
      <c r="B213" s="29" t="n">
        <v>1298</v>
      </c>
      <c r="C213" s="29" t="n">
        <f aca="false">A213*B213</f>
        <v>1719850000</v>
      </c>
      <c r="D213" s="29" t="n">
        <f aca="false">SUM($B$3:B213)</f>
        <v>390463</v>
      </c>
      <c r="E213" s="29" t="n">
        <f aca="false">SUM($C$3:C213)</f>
        <v>166715933599.28</v>
      </c>
      <c r="F213" s="30" t="n">
        <f aca="false">D213/$D$222</f>
        <v>0.987543880947323</v>
      </c>
      <c r="G213" s="30" t="n">
        <f aca="false">E213/$E$222</f>
        <v>0.952716125975759</v>
      </c>
      <c r="H213" s="31" t="n">
        <f aca="false">(F213-F212)*(G213+G212)</f>
        <v>0.00622298595690141</v>
      </c>
      <c r="I213" s="32" t="n">
        <f aca="false">MIN(10,ROUNDUP(F213*10,0))</f>
        <v>10</v>
      </c>
    </row>
    <row r="214" customFormat="false" ht="15.75" hidden="false" customHeight="true" outlineLevel="0" collapsed="false">
      <c r="A214" s="29" t="n">
        <v>1395000</v>
      </c>
      <c r="B214" s="29" t="n">
        <v>504</v>
      </c>
      <c r="C214" s="29" t="n">
        <f aca="false">A214*B214</f>
        <v>703080000</v>
      </c>
      <c r="D214" s="29" t="n">
        <f aca="false">SUM($B$3:B214)</f>
        <v>390967</v>
      </c>
      <c r="E214" s="29" t="n">
        <f aca="false">SUM($C$3:C214)</f>
        <v>167419013599.28</v>
      </c>
      <c r="F214" s="30" t="n">
        <f aca="false">D214/$D$222</f>
        <v>0.988818578206724</v>
      </c>
      <c r="G214" s="30" t="n">
        <f aca="false">E214/$E$222</f>
        <v>0.956733952223015</v>
      </c>
      <c r="H214" s="31" t="n">
        <f aca="false">(F214-F213)*(G214+G213)</f>
        <v>0.00243397078164278</v>
      </c>
      <c r="I214" s="32" t="n">
        <f aca="false">MIN(10,ROUNDUP(F214*10,0))</f>
        <v>10</v>
      </c>
    </row>
    <row r="215" customFormat="false" ht="15.75" hidden="false" customHeight="true" outlineLevel="0" collapsed="false">
      <c r="A215" s="29" t="n">
        <v>1448000</v>
      </c>
      <c r="B215" s="29" t="n">
        <v>684</v>
      </c>
      <c r="C215" s="29" t="n">
        <f aca="false">A215*B215</f>
        <v>990432000</v>
      </c>
      <c r="D215" s="29" t="n">
        <f aca="false">SUM($B$3:B215)</f>
        <v>391651</v>
      </c>
      <c r="E215" s="29" t="n">
        <f aca="false">SUM($C$3:C215)</f>
        <v>168409445599.28</v>
      </c>
      <c r="F215" s="30" t="n">
        <f aca="false">D215/$D$222</f>
        <v>0.990548524487339</v>
      </c>
      <c r="G215" s="30" t="n">
        <f aca="false">E215/$E$222</f>
        <v>0.962393882367128</v>
      </c>
      <c r="H215" s="31" t="n">
        <f aca="false">(F215-F214)*(G215+G214)</f>
        <v>0.00331998805947492</v>
      </c>
      <c r="I215" s="32" t="n">
        <f aca="false">MIN(10,ROUNDUP(F215*10,0))</f>
        <v>10</v>
      </c>
    </row>
    <row r="216" customFormat="false" ht="15.75" hidden="false" customHeight="true" outlineLevel="0" collapsed="false">
      <c r="A216" s="29" t="n">
        <v>1500000</v>
      </c>
      <c r="B216" s="29" t="n">
        <v>1664</v>
      </c>
      <c r="C216" s="29" t="n">
        <f aca="false">A216*B216</f>
        <v>2496000000</v>
      </c>
      <c r="D216" s="29" t="n">
        <f aca="false">SUM($B$3:B216)</f>
        <v>393315</v>
      </c>
      <c r="E216" s="29" t="n">
        <f aca="false">SUM($C$3:C216)</f>
        <v>170905445599.28</v>
      </c>
      <c r="F216" s="30" t="n">
        <f aca="false">D216/$D$222</f>
        <v>0.994757048772345</v>
      </c>
      <c r="G216" s="30" t="n">
        <f aca="false">E216/$E$222</f>
        <v>0.976657542708983</v>
      </c>
      <c r="H216" s="31" t="n">
        <f aca="false">(F216-F215)*(G216+G215)</f>
        <v>0.00816054501230865</v>
      </c>
      <c r="I216" s="32" t="n">
        <f aca="false">MIN(10,ROUNDUP(F216*10,0))</f>
        <v>10</v>
      </c>
    </row>
    <row r="217" customFormat="false" ht="15.75" hidden="false" customHeight="true" outlineLevel="0" collapsed="false">
      <c r="A217" s="29" t="n">
        <v>1600000</v>
      </c>
      <c r="B217" s="29" t="n">
        <v>431</v>
      </c>
      <c r="C217" s="29" t="n">
        <f aca="false">A217*B217</f>
        <v>689600000</v>
      </c>
      <c r="D217" s="29" t="n">
        <f aca="false">SUM($B$3:B217)</f>
        <v>393746</v>
      </c>
      <c r="E217" s="29" t="n">
        <f aca="false">SUM($C$3:C217)</f>
        <v>171595045599.28</v>
      </c>
      <c r="F217" s="30" t="n">
        <f aca="false">D217/$D$222</f>
        <v>0.995847117262031</v>
      </c>
      <c r="G217" s="30" t="n">
        <f aca="false">E217/$E$222</f>
        <v>0.980598336047022</v>
      </c>
      <c r="H217" s="31" t="n">
        <f aca="false">(F217-F216)*(G217+G216)</f>
        <v>0.00213354295968474</v>
      </c>
      <c r="I217" s="32" t="n">
        <f aca="false">MIN(10,ROUNDUP(F217*10,0))</f>
        <v>10</v>
      </c>
    </row>
    <row r="218" customFormat="false" ht="15.75" hidden="false" customHeight="true" outlineLevel="0" collapsed="false">
      <c r="A218" s="29" t="n">
        <v>1800000</v>
      </c>
      <c r="B218" s="29" t="n">
        <v>442</v>
      </c>
      <c r="C218" s="29" t="n">
        <f aca="false">A218*B218</f>
        <v>795600000</v>
      </c>
      <c r="D218" s="29" t="n">
        <f aca="false">SUM($B$3:B218)</f>
        <v>394188</v>
      </c>
      <c r="E218" s="29" t="n">
        <f aca="false">SUM($C$3:C218)</f>
        <v>172390645599.28</v>
      </c>
      <c r="F218" s="30" t="n">
        <f aca="false">D218/$D$222</f>
        <v>0.996965006525236</v>
      </c>
      <c r="G218" s="30" t="n">
        <f aca="false">E218/$E$222</f>
        <v>0.985144877780988</v>
      </c>
      <c r="H218" s="31" t="n">
        <f aca="false">(F218-F217)*(G218+G217)</f>
        <v>0.00219748323295598</v>
      </c>
      <c r="I218" s="32" t="n">
        <f aca="false">MIN(10,ROUNDUP(F218*10,0))</f>
        <v>10</v>
      </c>
    </row>
    <row r="219" customFormat="false" ht="15.75" hidden="false" customHeight="true" outlineLevel="0" collapsed="false">
      <c r="A219" s="29" t="n">
        <v>1900000</v>
      </c>
      <c r="B219" s="29" t="n">
        <v>528</v>
      </c>
      <c r="C219" s="29" t="n">
        <f aca="false">A219*B219</f>
        <v>1003200000</v>
      </c>
      <c r="D219" s="29" t="n">
        <f aca="false">SUM($B$3:B219)</f>
        <v>394716</v>
      </c>
      <c r="E219" s="29" t="n">
        <f aca="false">SUM($C$3:C219)</f>
        <v>173393845599.28</v>
      </c>
      <c r="F219" s="30" t="n">
        <f aca="false">D219/$D$222</f>
        <v>0.998300403654132</v>
      </c>
      <c r="G219" s="30" t="n">
        <f aca="false">E219/$E$222</f>
        <v>0.990877772033772</v>
      </c>
      <c r="H219" s="31" t="n">
        <f aca="false">(F219-F218)*(G219+G218)</f>
        <v>0.00263877497319647</v>
      </c>
      <c r="I219" s="32" t="n">
        <f aca="false">MIN(10,ROUNDUP(F219*10,0))</f>
        <v>10</v>
      </c>
    </row>
    <row r="220" customFormat="false" ht="15.75" hidden="false" customHeight="true" outlineLevel="0" collapsed="false">
      <c r="A220" s="29" t="n">
        <v>2300000</v>
      </c>
      <c r="B220" s="29" t="n">
        <v>378</v>
      </c>
      <c r="C220" s="29" t="n">
        <f aca="false">A220*B220</f>
        <v>869400000</v>
      </c>
      <c r="D220" s="29" t="n">
        <f aca="false">SUM($B$3:B220)</f>
        <v>395094</v>
      </c>
      <c r="E220" s="29" t="n">
        <f aca="false">SUM($C$3:C220)</f>
        <v>174263245599.28</v>
      </c>
      <c r="F220" s="30" t="n">
        <f aca="false">D220/$D$222</f>
        <v>0.999256426598683</v>
      </c>
      <c r="G220" s="30" t="n">
        <f aca="false">E220/$E$222</f>
        <v>0.995846051801885</v>
      </c>
      <c r="H220" s="31" t="n">
        <f aca="false">(F220-F219)*(G220+G219)</f>
        <v>0.00189935356007231</v>
      </c>
      <c r="I220" s="32" t="n">
        <f aca="false">MIN(10,ROUNDUP(F220*10,0))</f>
        <v>10</v>
      </c>
    </row>
    <row r="221" customFormat="false" ht="15.75" hidden="false" customHeight="true" outlineLevel="0" collapsed="false">
      <c r="A221" s="29" t="n">
        <v>2450000</v>
      </c>
      <c r="B221" s="29" t="n">
        <v>162</v>
      </c>
      <c r="C221" s="29" t="n">
        <f aca="false">A221*B221</f>
        <v>396900000</v>
      </c>
      <c r="D221" s="29" t="n">
        <f aca="false">SUM($B$3:B221)</f>
        <v>395256</v>
      </c>
      <c r="E221" s="29" t="n">
        <f aca="false">SUM($C$3:C221)</f>
        <v>174660145599.28</v>
      </c>
      <c r="F221" s="30" t="n">
        <f aca="false">D221/$D$222</f>
        <v>0.999666150717776</v>
      </c>
      <c r="G221" s="30" t="n">
        <f aca="false">E221/$E$222</f>
        <v>0.998114179522111</v>
      </c>
      <c r="H221" s="31" t="n">
        <f aca="false">(F221-F220)*(G221+G220)</f>
        <v>0.000816973599285947</v>
      </c>
      <c r="I221" s="32" t="n">
        <f aca="false">MIN(10,ROUNDUP(F221*10,0))</f>
        <v>10</v>
      </c>
    </row>
    <row r="222" customFormat="false" ht="15.75" hidden="false" customHeight="true" outlineLevel="0" collapsed="false">
      <c r="A222" s="29" t="n">
        <v>2500000</v>
      </c>
      <c r="B222" s="29" t="n">
        <v>132</v>
      </c>
      <c r="C222" s="29" t="n">
        <f aca="false">A222*B222</f>
        <v>330000000</v>
      </c>
      <c r="D222" s="29" t="n">
        <f aca="false">SUM($B$3:B222)</f>
        <v>395388</v>
      </c>
      <c r="E222" s="29" t="n">
        <f aca="false">SUM($C$3:C222)</f>
        <v>174990145599.28</v>
      </c>
      <c r="F222" s="30" t="n">
        <f aca="false">D222/$D$222</f>
        <v>1</v>
      </c>
      <c r="G222" s="30" t="n">
        <f aca="false">E222/$E$222</f>
        <v>1</v>
      </c>
      <c r="H222" s="31" t="n">
        <f aca="false">(F222-F221)*(G222+G221)</f>
        <v>0.000667068984635091</v>
      </c>
      <c r="I222" s="32" t="n">
        <f aca="false">MIN(10,ROUNDUP(F222*10,0))</f>
        <v>10</v>
      </c>
    </row>
    <row r="223" customFormat="false" ht="15.75" hidden="false" customHeight="true" outlineLevel="0" collapsed="false"/>
    <row r="224" customFormat="false" ht="15.75" hidden="false" customHeight="true" outlineLevel="0" collapsed="false">
      <c r="A224" s="3" t="s">
        <v>71</v>
      </c>
      <c r="C224" s="31" t="n">
        <f aca="false">SUM(H3:H222)</f>
        <v>0.664194607602784</v>
      </c>
    </row>
    <row r="225" customFormat="false" ht="15.75" hidden="false" customHeight="true" outlineLevel="0" collapsed="false">
      <c r="A225" s="33" t="s">
        <v>72</v>
      </c>
      <c r="B225" s="34"/>
      <c r="C225" s="35" t="n">
        <f aca="false">1-C224</f>
        <v>0.335805392397216</v>
      </c>
    </row>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true" showErrorMessage="false" showInputMessage="false" sqref="A2:I222" type="custom">
      <formula1>AND(ISNUMBER(A2),(NOT(OR(NOT(ISERROR(DATEVALUE(A2))), AND(ISNUMBER(A2), LEFT(CELL("format", A2))="D")))))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0" width="19.43"/>
    <col collapsed="false" customWidth="true" hidden="false" outlineLevel="0" max="2" min="2" style="0" width="13.57"/>
    <col collapsed="false" customWidth="true" hidden="false" outlineLevel="0" max="3" min="3" style="0" width="22"/>
    <col collapsed="false" customWidth="true" hidden="false" outlineLevel="0" max="4" min="4" style="0" width="23.57"/>
    <col collapsed="false" customWidth="true" hidden="false" outlineLevel="0" max="5" min="5" style="0" width="16.85"/>
    <col collapsed="false" customWidth="true" hidden="false" outlineLevel="0" max="26" min="6" style="0" width="8.71"/>
  </cols>
  <sheetData>
    <row r="1" customFormat="false" ht="30" hidden="false" customHeight="true" outlineLevel="0" collapsed="false">
      <c r="A1" s="28" t="s">
        <v>70</v>
      </c>
      <c r="B1" s="28" t="s">
        <v>73</v>
      </c>
      <c r="C1" s="28" t="s">
        <v>74</v>
      </c>
      <c r="D1" s="28" t="s">
        <v>75</v>
      </c>
      <c r="E1" s="28" t="s">
        <v>76</v>
      </c>
    </row>
    <row r="2" customFormat="false" ht="22.5" hidden="false" customHeight="true" outlineLevel="0" collapsed="false">
      <c r="A2" s="8" t="n">
        <v>1</v>
      </c>
      <c r="B2" s="29" t="n">
        <f aca="false">SUMIF(Gini_T4_2024!$I$3:$I$266,A2,Gini_T4_2024!$B$3:$B$266)</f>
        <v>38596</v>
      </c>
      <c r="C2" s="29" t="n">
        <f aca="false">SUMIF(Gini_T4_2024!$I$3:$I$266,A2,Gini_T4_2024!$C$3:$C$266)</f>
        <v>3838397181.14</v>
      </c>
      <c r="D2" s="29" t="n">
        <f aca="false">C2/B2</f>
        <v>99450.647246865</v>
      </c>
      <c r="E2" s="36" t="n">
        <f aca="false">C2/SUM($C$2:$C$11)</f>
        <v>0.0290149871917991</v>
      </c>
    </row>
    <row r="3" customFormat="false" ht="22.5" hidden="false" customHeight="true" outlineLevel="0" collapsed="false">
      <c r="A3" s="8" t="n">
        <v>2</v>
      </c>
      <c r="B3" s="29" t="n">
        <f aca="false">SUMIF(Gini_T4_2024!$I$3:$I$266,A3,Gini_T4_2024!$B$3:$B$266)</f>
        <v>36965</v>
      </c>
      <c r="C3" s="29" t="n">
        <f aca="false">SUMIF(Gini_T4_2024!$I$3:$I$266,A3,Gini_T4_2024!$C$3:$C$266)</f>
        <v>5780863683.79</v>
      </c>
      <c r="D3" s="29" t="n">
        <f aca="false">C3/B3</f>
        <v>156387.49313648</v>
      </c>
      <c r="E3" s="36" t="n">
        <f aca="false">C3/SUM($C$2:$C$11)</f>
        <v>0.0436983662261046</v>
      </c>
    </row>
    <row r="4" customFormat="false" ht="22.5" hidden="false" customHeight="true" outlineLevel="0" collapsed="false">
      <c r="A4" s="8" t="n">
        <v>3</v>
      </c>
      <c r="B4" s="29" t="n">
        <f aca="false">SUMIF(Gini_T4_2024!$I$3:$I$266,A4,Gini_T4_2024!$B$3:$B$266)</f>
        <v>42211</v>
      </c>
      <c r="C4" s="29" t="n">
        <f aca="false">SUMIF(Gini_T4_2024!$I$3:$I$266,A4,Gini_T4_2024!$C$3:$C$266)</f>
        <v>8340063946.82</v>
      </c>
      <c r="D4" s="29" t="n">
        <f aca="false">C4/B4</f>
        <v>197580.345095354</v>
      </c>
      <c r="E4" s="36" t="n">
        <f aca="false">C4/SUM($C$2:$C$11)</f>
        <v>0.0630437229854097</v>
      </c>
    </row>
    <row r="5" customFormat="false" ht="22.5" hidden="false" customHeight="true" outlineLevel="0" collapsed="false">
      <c r="A5" s="8" t="n">
        <v>4</v>
      </c>
      <c r="B5" s="29" t="n">
        <f aca="false">SUMIF(Gini_T4_2024!$I$3:$I$266,A5,Gini_T4_2024!$B$3:$B$266)</f>
        <v>37085</v>
      </c>
      <c r="C5" s="29" t="n">
        <f aca="false">SUMIF(Gini_T4_2024!$I$3:$I$266,A5,Gini_T4_2024!$C$3:$C$266)</f>
        <v>8219575298.26</v>
      </c>
      <c r="D5" s="29" t="n">
        <f aca="false">C5/B5</f>
        <v>221641.507301065</v>
      </c>
      <c r="E5" s="36" t="n">
        <f aca="false">C5/SUM($C$2:$C$11)</f>
        <v>0.0621329322491349</v>
      </c>
    </row>
    <row r="6" customFormat="false" ht="22.5" hidden="false" customHeight="true" outlineLevel="0" collapsed="false">
      <c r="A6" s="8" t="n">
        <v>5</v>
      </c>
      <c r="B6" s="29" t="n">
        <f aca="false">SUMIF(Gini_T4_2024!$I$3:$I$266,A6,Gini_T4_2024!$B$3:$B$266)</f>
        <v>40909</v>
      </c>
      <c r="C6" s="29" t="n">
        <f aca="false">SUMIF(Gini_T4_2024!$I$3:$I$266,A6,Gini_T4_2024!$C$3:$C$266)</f>
        <v>10256867031.72</v>
      </c>
      <c r="D6" s="29" t="n">
        <f aca="false">C6/B6</f>
        <v>250723.973495319</v>
      </c>
      <c r="E6" s="36" t="n">
        <f aca="false">C6/SUM($C$2:$C$11)</f>
        <v>0.0775331086151315</v>
      </c>
    </row>
    <row r="7" customFormat="false" ht="22.5" hidden="false" customHeight="true" outlineLevel="0" collapsed="false">
      <c r="A7" s="8" t="n">
        <v>6</v>
      </c>
      <c r="B7" s="29" t="n">
        <f aca="false">SUMIF(Gini_T4_2024!$I$3:$I$266,A7,Gini_T4_2024!$B$3:$B$266)</f>
        <v>38557</v>
      </c>
      <c r="C7" s="29" t="n">
        <f aca="false">SUMIF(Gini_T4_2024!$I$3:$I$266,A7,Gini_T4_2024!$C$3:$C$266)</f>
        <v>11453025340.82</v>
      </c>
      <c r="D7" s="29" t="n">
        <f aca="false">C7/B7</f>
        <v>297041.402101305</v>
      </c>
      <c r="E7" s="36" t="n">
        <f aca="false">C7/SUM($C$2:$C$11)</f>
        <v>0.0865750384572102</v>
      </c>
    </row>
    <row r="8" customFormat="false" ht="22.5" hidden="false" customHeight="true" outlineLevel="0" collapsed="false">
      <c r="A8" s="8" t="n">
        <v>7</v>
      </c>
      <c r="B8" s="29" t="n">
        <f aca="false">SUMIF(Gini_T4_2024!$I$3:$I$266,A8,Gini_T4_2024!$B$3:$B$266)</f>
        <v>38919</v>
      </c>
      <c r="C8" s="29" t="n">
        <f aca="false">SUMIF(Gini_T4_2024!$I$3:$I$266,A8,Gini_T4_2024!$C$3:$C$266)</f>
        <v>13531269378.6</v>
      </c>
      <c r="D8" s="29" t="n">
        <f aca="false">C8/B8</f>
        <v>347677.724982656</v>
      </c>
      <c r="E8" s="36" t="n">
        <f aca="false">C8/SUM($C$2:$C$11)</f>
        <v>0.10228477908382</v>
      </c>
    </row>
    <row r="9" customFormat="false" ht="22.5" hidden="false" customHeight="true" outlineLevel="0" collapsed="false">
      <c r="A9" s="8" t="n">
        <v>8</v>
      </c>
      <c r="B9" s="29" t="n">
        <f aca="false">SUMIF(Gini_T4_2024!$I$3:$I$266,A9,Gini_T4_2024!$B$3:$B$266)</f>
        <v>40276</v>
      </c>
      <c r="C9" s="29" t="n">
        <f aca="false">SUMIF(Gini_T4_2024!$I$3:$I$266,A9,Gini_T4_2024!$C$3:$C$266)</f>
        <v>16054009164.13</v>
      </c>
      <c r="D9" s="29" t="n">
        <f aca="false">C9/B9</f>
        <v>398599.889863194</v>
      </c>
      <c r="E9" s="36" t="n">
        <f aca="false">C9/SUM($C$2:$C$11)</f>
        <v>0.121354525936764</v>
      </c>
    </row>
    <row r="10" customFormat="false" ht="22.5" hidden="false" customHeight="true" outlineLevel="0" collapsed="false">
      <c r="A10" s="8" t="n">
        <v>9</v>
      </c>
      <c r="B10" s="29" t="n">
        <f aca="false">SUMIF(Gini_T4_2024!$I$3:$I$266,A10,Gini_T4_2024!$B$3:$B$266)</f>
        <v>39369</v>
      </c>
      <c r="C10" s="29" t="n">
        <f aca="false">SUMIF(Gini_T4_2024!$I$3:$I$266,A10,Gini_T4_2024!$C$3:$C$266)</f>
        <v>20121987610.45</v>
      </c>
      <c r="D10" s="29" t="n">
        <f aca="false">C10/B10</f>
        <v>511112.48978765</v>
      </c>
      <c r="E10" s="36" t="n">
        <f aca="false">C10/SUM($C$2:$C$11)</f>
        <v>0.152104950383834</v>
      </c>
    </row>
    <row r="11" customFormat="false" ht="22.5" hidden="false" customHeight="true" outlineLevel="0" collapsed="false">
      <c r="A11" s="8" t="n">
        <v>10</v>
      </c>
      <c r="B11" s="29" t="n">
        <f aca="false">SUMIF(Gini_T4_2024!$I$3:$I$266,A11,Gini_T4_2024!$B$3:$B$266)</f>
        <v>39754</v>
      </c>
      <c r="C11" s="29" t="n">
        <f aca="false">SUMIF(Gini_T4_2024!$I$3:$I$266,A11,Gini_T4_2024!$C$3:$C$266)</f>
        <v>34694097336.66</v>
      </c>
      <c r="D11" s="29" t="n">
        <f aca="false">C11/B11</f>
        <v>872719.659321326</v>
      </c>
      <c r="E11" s="36" t="n">
        <f aca="false">C11/SUM($C$2:$C$11)</f>
        <v>0.262257588870792</v>
      </c>
    </row>
    <row r="14" customFormat="false" ht="15" hidden="false" customHeight="false" outlineLevel="0" collapsed="false">
      <c r="A14" s="6" t="s">
        <v>77</v>
      </c>
    </row>
    <row r="15" customFormat="false" ht="15" hidden="false" customHeight="false" outlineLevel="0" collapsed="false">
      <c r="A15" s="37" t="s">
        <v>78</v>
      </c>
      <c r="B15" s="37"/>
      <c r="C15" s="37" t="s">
        <v>79</v>
      </c>
    </row>
    <row r="16" customFormat="false" ht="15" hidden="false" customHeight="false" outlineLevel="0" collapsed="false">
      <c r="A16" s="8" t="s">
        <v>80</v>
      </c>
      <c r="C16" s="38" t="n">
        <f aca="false">D11/D2</f>
        <v>8.77540451954009</v>
      </c>
    </row>
    <row r="17" customFormat="false" ht="15" hidden="false" customHeight="false" outlineLevel="0" collapsed="false">
      <c r="A17" s="8" t="s">
        <v>31</v>
      </c>
      <c r="C17" s="38" t="n">
        <f aca="false">D10/D2</f>
        <v>5.1393581031094</v>
      </c>
    </row>
    <row r="18" customFormat="false" ht="15" hidden="false" customHeight="false" outlineLevel="0" collapsed="false">
      <c r="A18" s="8" t="s">
        <v>81</v>
      </c>
      <c r="C18" s="38" t="n">
        <f aca="false">D11/D6</f>
        <v>3.48079861353035</v>
      </c>
    </row>
    <row r="19" customFormat="false" ht="15" hidden="false" customHeight="false" outlineLevel="0" collapsed="false">
      <c r="A19" s="8" t="s">
        <v>82</v>
      </c>
      <c r="C19" s="39" t="n">
        <f aca="false">E11</f>
        <v>0.262257588870792</v>
      </c>
    </row>
    <row r="20" customFormat="false" ht="15" hidden="false" customHeight="false" outlineLevel="0" collapsed="false">
      <c r="A20" s="8" t="s">
        <v>83</v>
      </c>
      <c r="C20" s="39" t="n">
        <f aca="false">E2</f>
        <v>0.0290149871917991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true" showErrorMessage="false" showInputMessage="false" sqref="A2:E11" type="custom">
      <formula1>AND(ISNUMBER(A2),(NOT(OR(NOT(ISERROR(DATEVALUE(A2))), AND(ISNUMBER(A2), LEFT(CELL("format", A2))="D")))))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zeroHeight="false" outlineLevelRow="0" outlineLevelCol="0"/>
  <cols>
    <col collapsed="false" customWidth="true" hidden="false" outlineLevel="0" max="1" min="1" style="0" width="19.43"/>
    <col collapsed="false" customWidth="true" hidden="false" outlineLevel="0" max="2" min="2" style="0" width="13.57"/>
    <col collapsed="false" customWidth="true" hidden="false" outlineLevel="0" max="3" min="3" style="0" width="22"/>
    <col collapsed="false" customWidth="true" hidden="false" outlineLevel="0" max="4" min="4" style="0" width="23.57"/>
    <col collapsed="false" customWidth="true" hidden="false" outlineLevel="0" max="5" min="5" style="0" width="16.85"/>
    <col collapsed="false" customWidth="true" hidden="false" outlineLevel="0" max="26" min="6" style="0" width="8.71"/>
  </cols>
  <sheetData>
    <row r="1" customFormat="false" ht="30" hidden="false" customHeight="true" outlineLevel="0" collapsed="false">
      <c r="A1" s="28" t="s">
        <v>70</v>
      </c>
      <c r="B1" s="28" t="s">
        <v>73</v>
      </c>
      <c r="C1" s="28" t="s">
        <v>74</v>
      </c>
      <c r="D1" s="28" t="s">
        <v>75</v>
      </c>
      <c r="E1" s="28" t="s">
        <v>76</v>
      </c>
    </row>
    <row r="2" customFormat="false" ht="22.5" hidden="false" customHeight="true" outlineLevel="0" collapsed="false">
      <c r="A2" s="8" t="n">
        <v>1</v>
      </c>
      <c r="B2" s="29" t="n">
        <f aca="false">SUMIF(Gini_T4_2025!$I$3:$I$222,A2,Gini_T4_2025!$B$3:$B$222)</f>
        <v>39463</v>
      </c>
      <c r="C2" s="29" t="n">
        <f aca="false">SUMIF(Gini_T4_2025!$I$3:$I$222,A2,Gini_T4_2025!$C$3:$C$222)</f>
        <v>4304828436.25</v>
      </c>
      <c r="D2" s="29" t="n">
        <f aca="false">C2/B2</f>
        <v>109085.179440235</v>
      </c>
      <c r="E2" s="36" t="n">
        <f aca="false">C2/SUM($C$2:$C$11)</f>
        <v>0.0246004049057018</v>
      </c>
    </row>
    <row r="3" customFormat="false" ht="22.5" hidden="false" customHeight="true" outlineLevel="0" collapsed="false">
      <c r="A3" s="8" t="n">
        <v>2</v>
      </c>
      <c r="B3" s="29" t="n">
        <f aca="false">SUMIF(Gini_T4_2025!$I$3:$I$222,A3,Gini_T4_2025!$B$3:$B$222)</f>
        <v>37320</v>
      </c>
      <c r="C3" s="29" t="n">
        <f aca="false">SUMIF(Gini_T4_2025!$I$3:$I$222,A3,Gini_T4_2025!$C$3:$C$222)</f>
        <v>6884148010.04</v>
      </c>
      <c r="D3" s="29" t="n">
        <f aca="false">C3/B3</f>
        <v>184462.701233655</v>
      </c>
      <c r="E3" s="36" t="n">
        <f aca="false">C3/SUM($C$2:$C$11)</f>
        <v>0.0393402039095642</v>
      </c>
    </row>
    <row r="4" customFormat="false" ht="22.5" hidden="false" customHeight="true" outlineLevel="0" collapsed="false">
      <c r="A4" s="8" t="n">
        <v>3</v>
      </c>
      <c r="B4" s="29" t="n">
        <f aca="false">SUMIF(Gini_T4_2025!$I$3:$I$222,A4,Gini_T4_2025!$B$3:$B$222)</f>
        <v>39994</v>
      </c>
      <c r="C4" s="29" t="n">
        <f aca="false">SUMIF(Gini_T4_2025!$I$3:$I$222,A4,Gini_T4_2025!$C$3:$C$222)</f>
        <v>9739010308.29</v>
      </c>
      <c r="D4" s="29" t="n">
        <f aca="false">C4/B4</f>
        <v>243511.784474921</v>
      </c>
      <c r="E4" s="36" t="n">
        <f aca="false">C4/SUM($C$2:$C$11)</f>
        <v>0.0556546214356088</v>
      </c>
    </row>
    <row r="5" customFormat="false" ht="22.5" hidden="false" customHeight="true" outlineLevel="0" collapsed="false">
      <c r="A5" s="8" t="n">
        <v>4</v>
      </c>
      <c r="B5" s="29" t="n">
        <f aca="false">SUMIF(Gini_T4_2025!$I$3:$I$222,A5,Gini_T4_2025!$B$3:$B$222)</f>
        <v>41071</v>
      </c>
      <c r="C5" s="29" t="n">
        <f aca="false">SUMIF(Gini_T4_2025!$I$3:$I$222,A5,Gini_T4_2025!$C$3:$C$222)</f>
        <v>11980415538.26</v>
      </c>
      <c r="D5" s="29" t="n">
        <f aca="false">C5/B5</f>
        <v>291700.117802342</v>
      </c>
      <c r="E5" s="36" t="n">
        <f aca="false">C5/SUM($C$2:$C$11)</f>
        <v>0.068463372592961</v>
      </c>
    </row>
    <row r="6" customFormat="false" ht="22.5" hidden="false" customHeight="true" outlineLevel="0" collapsed="false">
      <c r="A6" s="8" t="n">
        <v>5</v>
      </c>
      <c r="B6" s="29" t="n">
        <f aca="false">SUMIF(Gini_T4_2025!$I$3:$I$222,A6,Gini_T4_2025!$B$3:$B$222)</f>
        <v>36615</v>
      </c>
      <c r="C6" s="29" t="n">
        <f aca="false">SUMIF(Gini_T4_2025!$I$3:$I$222,A6,Gini_T4_2025!$C$3:$C$222)</f>
        <v>12795741936.08</v>
      </c>
      <c r="D6" s="29" t="n">
        <f aca="false">C6/B6</f>
        <v>349467.211145159</v>
      </c>
      <c r="E6" s="36" t="n">
        <f aca="false">C6/SUM($C$2:$C$11)</f>
        <v>0.0731226429480304</v>
      </c>
    </row>
    <row r="7" customFormat="false" ht="22.5" hidden="false" customHeight="true" outlineLevel="0" collapsed="false">
      <c r="A7" s="8" t="n">
        <v>6</v>
      </c>
      <c r="B7" s="29" t="n">
        <f aca="false">SUMIF(Gini_T4_2025!$I$3:$I$222,A7,Gini_T4_2025!$B$3:$B$222)</f>
        <v>39880</v>
      </c>
      <c r="C7" s="29" t="n">
        <f aca="false">SUMIF(Gini_T4_2025!$I$3:$I$222,A7,Gini_T4_2025!$C$3:$C$222)</f>
        <v>15845030972.18</v>
      </c>
      <c r="D7" s="29" t="n">
        <f aca="false">C7/B7</f>
        <v>397317.727486961</v>
      </c>
      <c r="E7" s="36" t="n">
        <f aca="false">C7/SUM($C$2:$C$11)</f>
        <v>0.0905481329700956</v>
      </c>
    </row>
    <row r="8" customFormat="false" ht="22.5" hidden="false" customHeight="true" outlineLevel="0" collapsed="false">
      <c r="A8" s="8" t="n">
        <v>7</v>
      </c>
      <c r="B8" s="29" t="n">
        <f aca="false">SUMIF(Gini_T4_2025!$I$3:$I$222,A8,Gini_T4_2025!$B$3:$B$222)</f>
        <v>41138</v>
      </c>
      <c r="C8" s="29" t="n">
        <f aca="false">SUMIF(Gini_T4_2025!$I$3:$I$222,A8,Gini_T4_2025!$C$3:$C$222)</f>
        <v>19732155026.74</v>
      </c>
      <c r="D8" s="29" t="n">
        <f aca="false">C8/B8</f>
        <v>479657.616479654</v>
      </c>
      <c r="E8" s="36" t="n">
        <f aca="false">C8/SUM($C$2:$C$11)</f>
        <v>0.112761521279751</v>
      </c>
    </row>
    <row r="9" customFormat="false" ht="22.5" hidden="false" customHeight="true" outlineLevel="0" collapsed="false">
      <c r="A9" s="8" t="n">
        <v>8</v>
      </c>
      <c r="B9" s="29" t="n">
        <f aca="false">SUMIF(Gini_T4_2025!$I$3:$I$222,A9,Gini_T4_2025!$B$3:$B$222)</f>
        <v>40409</v>
      </c>
      <c r="C9" s="29" t="n">
        <f aca="false">SUMIF(Gini_T4_2025!$I$3:$I$222,A9,Gini_T4_2025!$C$3:$C$222)</f>
        <v>22840968535.34</v>
      </c>
      <c r="D9" s="29" t="n">
        <f aca="false">C9/B9</f>
        <v>565244.587476552</v>
      </c>
      <c r="E9" s="36" t="n">
        <f aca="false">C9/SUM($C$2:$C$11)</f>
        <v>0.13052717029932</v>
      </c>
    </row>
    <row r="10" customFormat="false" ht="22.5" hidden="false" customHeight="true" outlineLevel="0" collapsed="false">
      <c r="A10" s="8" t="n">
        <v>9</v>
      </c>
      <c r="B10" s="29" t="n">
        <f aca="false">SUMIF(Gini_T4_2025!$I$3:$I$222,A10,Gini_T4_2025!$B$3:$B$222)</f>
        <v>39174</v>
      </c>
      <c r="C10" s="29" t="n">
        <f aca="false">SUMIF(Gini_T4_2025!$I$3:$I$222,A10,Gini_T4_2025!$C$3:$C$222)</f>
        <v>27638724631.77</v>
      </c>
      <c r="D10" s="29" t="n">
        <f aca="false">C10/B10</f>
        <v>705537.464434829</v>
      </c>
      <c r="E10" s="36" t="n">
        <f aca="false">C10/SUM($C$2:$C$11)</f>
        <v>0.15794446331316</v>
      </c>
    </row>
    <row r="11" customFormat="false" ht="22.5" hidden="false" customHeight="true" outlineLevel="0" collapsed="false">
      <c r="A11" s="8" t="n">
        <v>10</v>
      </c>
      <c r="B11" s="29" t="n">
        <f aca="false">SUMIF(Gini_T4_2025!$I$3:$I$222,A11,Gini_T4_2025!$B$3:$B$222)</f>
        <v>40324</v>
      </c>
      <c r="C11" s="29" t="n">
        <f aca="false">SUMIF(Gini_T4_2025!$I$3:$I$222,A11,Gini_T4_2025!$C$3:$C$222)</f>
        <v>43229122204.33</v>
      </c>
      <c r="D11" s="29" t="n">
        <f aca="false">C11/B11</f>
        <v>1072044.49470117</v>
      </c>
      <c r="E11" s="36" t="n">
        <f aca="false">C11/SUM($C$2:$C$11)</f>
        <v>0.247037466345807</v>
      </c>
    </row>
    <row r="14" customFormat="false" ht="15" hidden="false" customHeight="false" outlineLevel="0" collapsed="false">
      <c r="A14" s="6" t="s">
        <v>77</v>
      </c>
    </row>
    <row r="15" customFormat="false" ht="15" hidden="false" customHeight="false" outlineLevel="0" collapsed="false">
      <c r="A15" s="37" t="s">
        <v>78</v>
      </c>
      <c r="B15" s="37"/>
      <c r="C15" s="37" t="s">
        <v>79</v>
      </c>
    </row>
    <row r="16" customFormat="false" ht="15" hidden="false" customHeight="false" outlineLevel="0" collapsed="false">
      <c r="A16" s="8" t="s">
        <v>80</v>
      </c>
      <c r="C16" s="38" t="n">
        <f aca="false">D11/D2</f>
        <v>9.82759069749264</v>
      </c>
    </row>
    <row r="17" customFormat="false" ht="15" hidden="false" customHeight="false" outlineLevel="0" collapsed="false">
      <c r="A17" s="8" t="s">
        <v>31</v>
      </c>
      <c r="C17" s="38" t="n">
        <f aca="false">D10/D2</f>
        <v>6.46776645604158</v>
      </c>
    </row>
    <row r="18" customFormat="false" ht="15" hidden="false" customHeight="false" outlineLevel="0" collapsed="false">
      <c r="A18" s="8" t="s">
        <v>81</v>
      </c>
      <c r="C18" s="38" t="n">
        <f aca="false">D11/D6</f>
        <v>3.06765401877967</v>
      </c>
    </row>
    <row r="19" customFormat="false" ht="15" hidden="false" customHeight="false" outlineLevel="0" collapsed="false">
      <c r="A19" s="8" t="s">
        <v>82</v>
      </c>
      <c r="C19" s="39" t="n">
        <f aca="false">E11</f>
        <v>0.247037466345807</v>
      </c>
    </row>
    <row r="20" customFormat="false" ht="15" hidden="false" customHeight="false" outlineLevel="0" collapsed="false">
      <c r="A20" s="8" t="s">
        <v>83</v>
      </c>
      <c r="C20" s="39" t="n">
        <f aca="false">E2</f>
        <v>0.0246004049057018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true" showErrorMessage="false" showInputMessage="false" sqref="A2:E11" type="custom">
      <formula1>AND(ISNUMBER(A2),(NOT(OR(NOT(ISERROR(DATEVALUE(A2))), AND(ISNUMBER(A2), LEFT(CELL("format", A2))="D")))))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2026-08-18T21:15:04Z</dcterms:created>
  <dc:creator>openpyxl</dc:creator>
  <dc:description/>
  <dc:language>en-US</dc:language>
  <cp:lastModifiedBy/>
  <dcterms:modified xsi:type="dcterms:W3CDTF">2026-09-13T22:53:26Z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